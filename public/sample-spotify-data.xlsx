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9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hinkpad VGU\Desktop\Teaching\FA - Course BIDM\2022\Paper submission\"/>
    </mc:Choice>
  </mc:AlternateContent>
  <xr:revisionPtr revIDLastSave="0" documentId="13_ncr:1_{42F9A083-B827-4639-9EFF-9F92909365B9}" xr6:coauthVersionLast="36" xr6:coauthVersionMax="47" xr10:uidLastSave="{00000000-0000-0000-0000-000000000000}"/>
  <bookViews>
    <workbookView xWindow="0" yWindow="0" windowWidth="6400" windowHeight="1050" xr2:uid="{00000000-000D-0000-FFFF-FFFF00000000}"/>
  </bookViews>
  <sheets>
    <sheet name="Methodology" sheetId="1" r:id="rId1"/>
    <sheet name="Final Result" sheetId="2" r:id="rId2"/>
  </sheets>
  <definedNames>
    <definedName name="_xlnm._FilterDatabase" localSheetId="1" hidden="1">'Final Result'!$A$1:$N$21</definedName>
    <definedName name="solver_eng" localSheetId="0" hidden="1">1</definedName>
    <definedName name="solver_neg" localSheetId="0" hidden="1">1</definedName>
    <definedName name="solver_num" localSheetId="0" hidden="1">0</definedName>
    <definedName name="solver_opt" localSheetId="0" hidden="1">Methodology!$AS$23</definedName>
    <definedName name="solver_typ" localSheetId="0" hidden="1">1</definedName>
    <definedName name="solver_val" localSheetId="0" hidden="1">0</definedName>
    <definedName name="solver_ver" localSheetId="0" hidden="1">3</definedName>
  </definedNames>
  <calcPr calcId="191029"/>
</workbook>
</file>

<file path=xl/calcChain.xml><?xml version="1.0" encoding="utf-8"?>
<calcChain xmlns="http://schemas.openxmlformats.org/spreadsheetml/2006/main">
  <c r="AT3" i="1" l="1"/>
  <c r="AS3" i="1"/>
  <c r="S16" i="1"/>
  <c r="Y8" i="1"/>
  <c r="E40" i="1"/>
  <c r="F40" i="1"/>
  <c r="G40" i="1"/>
  <c r="H40" i="1"/>
  <c r="I40" i="1"/>
  <c r="J40" i="1"/>
  <c r="K40" i="1"/>
  <c r="L40" i="1"/>
  <c r="M40" i="1"/>
  <c r="E41" i="1"/>
  <c r="F41" i="1"/>
  <c r="G41" i="1"/>
  <c r="H41" i="1"/>
  <c r="I41" i="1"/>
  <c r="J41" i="1"/>
  <c r="K41" i="1"/>
  <c r="L41" i="1"/>
  <c r="M41" i="1"/>
  <c r="D41" i="1"/>
  <c r="D40" i="1"/>
  <c r="AG3" i="1"/>
  <c r="AG4" i="1"/>
  <c r="AG5" i="1"/>
  <c r="AG6" i="1"/>
  <c r="AJ4" i="1"/>
  <c r="AK4" i="1"/>
  <c r="AH4" i="1" l="1"/>
  <c r="AH3" i="1"/>
  <c r="AI3" i="1"/>
  <c r="AJ3" i="1"/>
  <c r="AK3" i="1"/>
  <c r="AL3" i="1"/>
  <c r="AM3" i="1"/>
  <c r="AN3" i="1"/>
  <c r="AO3" i="1"/>
  <c r="AP3" i="1"/>
  <c r="AI4" i="1"/>
  <c r="AL4" i="1"/>
  <c r="AM4" i="1"/>
  <c r="AN4" i="1"/>
  <c r="AO4" i="1"/>
  <c r="AP4" i="1"/>
  <c r="AH5" i="1"/>
  <c r="AI5" i="1"/>
  <c r="AJ5" i="1"/>
  <c r="AK5" i="1"/>
  <c r="AL5" i="1"/>
  <c r="AM5" i="1"/>
  <c r="AN5" i="1"/>
  <c r="AO5" i="1"/>
  <c r="AP5" i="1"/>
  <c r="AH6" i="1"/>
  <c r="AI6" i="1"/>
  <c r="AJ6" i="1"/>
  <c r="AK6" i="1"/>
  <c r="AL6" i="1"/>
  <c r="AM6" i="1"/>
  <c r="AN6" i="1"/>
  <c r="AO6" i="1"/>
  <c r="AP6" i="1"/>
  <c r="J24" i="1"/>
  <c r="J23" i="1"/>
  <c r="E23" i="1"/>
  <c r="F23" i="1"/>
  <c r="G23" i="1"/>
  <c r="H23" i="1"/>
  <c r="I23" i="1"/>
  <c r="K23" i="1"/>
  <c r="L23" i="1"/>
  <c r="M23" i="1"/>
  <c r="E24" i="1"/>
  <c r="F24" i="1"/>
  <c r="G24" i="1"/>
  <c r="H24" i="1"/>
  <c r="I24" i="1"/>
  <c r="K24" i="1"/>
  <c r="L24" i="1"/>
  <c r="M24" i="1"/>
  <c r="D24" i="1"/>
  <c r="D23" i="1"/>
  <c r="P14" i="1" s="1"/>
  <c r="P22" i="1"/>
  <c r="P8" i="1"/>
  <c r="P13" i="1"/>
  <c r="P18" i="1"/>
  <c r="AS19" i="1" l="1"/>
  <c r="AS2" i="1"/>
  <c r="AT6" i="1"/>
  <c r="AU21" i="1"/>
  <c r="AT20" i="1"/>
  <c r="AU16" i="1"/>
  <c r="AT19" i="1"/>
  <c r="AV18" i="1"/>
  <c r="AT7" i="1"/>
  <c r="AV9" i="1"/>
  <c r="AU12" i="1"/>
  <c r="AT15" i="1"/>
  <c r="AV17" i="1"/>
  <c r="AU20" i="1"/>
  <c r="AU3" i="1"/>
  <c r="AV4" i="1"/>
  <c r="AU7" i="1"/>
  <c r="AT10" i="1"/>
  <c r="AU11" i="1"/>
  <c r="AT14" i="1"/>
  <c r="AU15" i="1"/>
  <c r="AV16" i="1"/>
  <c r="AT18" i="1"/>
  <c r="AU19" i="1"/>
  <c r="AV3" i="1"/>
  <c r="AT5" i="1"/>
  <c r="AU6" i="1"/>
  <c r="AV7" i="1"/>
  <c r="AT9" i="1"/>
  <c r="AU10" i="1"/>
  <c r="AV11" i="1"/>
  <c r="AT13" i="1"/>
  <c r="AU14" i="1"/>
  <c r="AV15" i="1"/>
  <c r="AT17" i="1"/>
  <c r="AU18" i="1"/>
  <c r="AV19" i="1"/>
  <c r="AT21" i="1"/>
  <c r="AU4" i="1"/>
  <c r="AV5" i="1"/>
  <c r="AU8" i="1"/>
  <c r="AT11" i="1"/>
  <c r="AV13" i="1"/>
  <c r="AV21" i="1"/>
  <c r="AV8" i="1"/>
  <c r="AV12" i="1"/>
  <c r="AV20" i="1"/>
  <c r="AV2" i="1"/>
  <c r="AT4" i="1"/>
  <c r="AU5" i="1"/>
  <c r="AV6" i="1"/>
  <c r="AT8" i="1"/>
  <c r="AU9" i="1"/>
  <c r="AV10" i="1"/>
  <c r="AT12" i="1"/>
  <c r="AU13" i="1"/>
  <c r="AV14" i="1"/>
  <c r="AT16" i="1"/>
  <c r="AU17" i="1"/>
  <c r="P6" i="1"/>
  <c r="P10" i="1"/>
  <c r="P20" i="1"/>
  <c r="P21" i="1"/>
  <c r="P4" i="1"/>
  <c r="P9" i="1"/>
  <c r="P15" i="1"/>
  <c r="P11" i="1"/>
  <c r="P19" i="1"/>
  <c r="P7" i="1"/>
  <c r="P17" i="1"/>
  <c r="P3" i="1"/>
  <c r="P12" i="1"/>
  <c r="P5" i="1"/>
  <c r="P16" i="1"/>
  <c r="T22" i="1"/>
  <c r="V20" i="1"/>
  <c r="Q17" i="1"/>
  <c r="T17" i="1"/>
  <c r="U18" i="1"/>
  <c r="T4" i="1"/>
  <c r="U8" i="1"/>
  <c r="U10" i="1"/>
  <c r="Q14" i="1"/>
  <c r="T14" i="1"/>
  <c r="T15" i="1"/>
  <c r="T20" i="1"/>
  <c r="T6" i="1"/>
  <c r="T9" i="1"/>
  <c r="U12" i="1"/>
  <c r="U5" i="1"/>
  <c r="T7" i="1"/>
  <c r="Q5" i="1"/>
  <c r="T5" i="1"/>
  <c r="T11" i="1"/>
  <c r="T12" i="1"/>
  <c r="U17" i="1"/>
  <c r="U14" i="1"/>
  <c r="V15" i="1"/>
  <c r="Q13" i="1"/>
  <c r="R13" i="1"/>
  <c r="Q11" i="1"/>
  <c r="R21" i="1"/>
  <c r="Q12" i="1"/>
  <c r="V12" i="1"/>
  <c r="U20" i="1"/>
  <c r="W6" i="1"/>
  <c r="V13" i="1"/>
  <c r="Q22" i="1"/>
  <c r="U22" i="1"/>
  <c r="Y17" i="1"/>
  <c r="W14" i="1"/>
  <c r="T16" i="1"/>
  <c r="T13" i="1"/>
  <c r="V8" i="1"/>
  <c r="S10" i="1"/>
  <c r="Q21" i="1"/>
  <c r="S21" i="1"/>
  <c r="W7" i="1"/>
  <c r="U16" i="1"/>
  <c r="R16" i="1"/>
  <c r="S18" i="1"/>
  <c r="U13" i="1"/>
  <c r="U7" i="1"/>
  <c r="U3" i="1"/>
  <c r="V19" i="1"/>
  <c r="V5" i="1"/>
  <c r="R12" i="1"/>
  <c r="R20" i="1"/>
  <c r="V9" i="1"/>
  <c r="W22" i="1"/>
  <c r="V17" i="1"/>
  <c r="Y4" i="1"/>
  <c r="R18" i="1"/>
  <c r="W16" i="1"/>
  <c r="Q16" i="1"/>
  <c r="W18" i="1"/>
  <c r="X9" i="1"/>
  <c r="S22" i="1"/>
  <c r="X11" i="1"/>
  <c r="S7" i="1"/>
  <c r="X7" i="1"/>
  <c r="U15" i="1"/>
  <c r="V18" i="1"/>
  <c r="V16" i="1"/>
  <c r="X19" i="1"/>
  <c r="X21" i="1"/>
  <c r="S8" i="1"/>
  <c r="Y11" i="1"/>
  <c r="R11" i="1"/>
  <c r="W13" i="1"/>
  <c r="S14" i="1"/>
  <c r="S19" i="1"/>
  <c r="Y19" i="1"/>
  <c r="U21" i="1"/>
  <c r="W19" i="1"/>
  <c r="Y10" i="1"/>
  <c r="S15" i="1"/>
  <c r="T10" i="1"/>
  <c r="S17" i="1"/>
  <c r="V22" i="1"/>
  <c r="S12" i="1"/>
  <c r="Q8" i="1"/>
  <c r="R8" i="1"/>
  <c r="S5" i="1"/>
  <c r="U11" i="1"/>
  <c r="V21" i="1"/>
  <c r="V11" i="1"/>
  <c r="V14" i="1"/>
  <c r="W21" i="1"/>
  <c r="R22" i="1"/>
  <c r="Q20" i="1"/>
  <c r="S20" i="1"/>
  <c r="X5" i="1"/>
  <c r="W17" i="1"/>
  <c r="X8" i="1"/>
  <c r="R9" i="1"/>
  <c r="U6" i="1"/>
  <c r="W10" i="1"/>
  <c r="T18" i="1"/>
  <c r="Q7" i="1"/>
  <c r="R7" i="1"/>
  <c r="X16" i="1"/>
  <c r="U9" i="1"/>
  <c r="S11" i="1"/>
  <c r="Q10" i="1"/>
  <c r="R10" i="1"/>
  <c r="V4" i="1"/>
  <c r="Y7" i="1"/>
  <c r="W4" i="1"/>
  <c r="Q15" i="1"/>
  <c r="R15" i="1"/>
  <c r="T19" i="1"/>
  <c r="T21" i="1"/>
  <c r="T3" i="1"/>
  <c r="T8" i="1"/>
  <c r="Q19" i="1"/>
  <c r="U19" i="1"/>
  <c r="R19" i="1"/>
  <c r="Y20" i="1"/>
  <c r="Y16" i="1"/>
  <c r="Q9" i="1"/>
  <c r="W9" i="1"/>
  <c r="Y12" i="1"/>
  <c r="W15" i="1"/>
  <c r="X15" i="1"/>
  <c r="X17" i="1"/>
  <c r="R17" i="1"/>
  <c r="R5" i="1"/>
  <c r="W11" i="1"/>
  <c r="Y14" i="1"/>
  <c r="Y15" i="1"/>
  <c r="Y9" i="1"/>
  <c r="Q4" i="1"/>
  <c r="R4" i="1"/>
  <c r="Y13" i="1"/>
  <c r="V7" i="1"/>
  <c r="S4" i="1"/>
  <c r="X12" i="1"/>
  <c r="U4" i="1"/>
  <c r="X22" i="1"/>
  <c r="Y6" i="1"/>
  <c r="R6" i="1"/>
  <c r="Q6" i="1"/>
  <c r="S6" i="1"/>
  <c r="V10" i="1"/>
  <c r="V3" i="1"/>
  <c r="X4" i="1"/>
  <c r="X10" i="1"/>
  <c r="X6" i="1"/>
  <c r="X18" i="1"/>
  <c r="V6" i="1"/>
  <c r="X20" i="1"/>
  <c r="Y5" i="1"/>
  <c r="W12" i="1"/>
  <c r="W8" i="1"/>
  <c r="Y21" i="1"/>
  <c r="S9" i="1"/>
  <c r="S13" i="1"/>
  <c r="X14" i="1"/>
  <c r="X13" i="1"/>
  <c r="X3" i="1"/>
  <c r="W5" i="1"/>
  <c r="W20" i="1"/>
  <c r="W3" i="1"/>
  <c r="Q18" i="1"/>
  <c r="Y22" i="1"/>
  <c r="Y18" i="1"/>
  <c r="Y3" i="1"/>
  <c r="Q3" i="1"/>
  <c r="R14" i="1"/>
  <c r="R3" i="1"/>
  <c r="S3" i="1"/>
  <c r="AS13" i="1" l="1"/>
  <c r="AW13" i="1" s="1"/>
  <c r="AX13" i="1" s="1"/>
  <c r="AS18" i="1"/>
  <c r="AW18" i="1" s="1"/>
  <c r="AX18" i="1" s="1"/>
  <c r="AS14" i="1" l="1"/>
  <c r="AW14" i="1" s="1"/>
  <c r="AX14" i="1" s="1"/>
  <c r="AT2" i="1"/>
  <c r="AS10" i="1"/>
  <c r="AW10" i="1" s="1"/>
  <c r="AX10" i="1" s="1"/>
  <c r="AS20" i="1"/>
  <c r="AW20" i="1" s="1"/>
  <c r="AX20" i="1" s="1"/>
  <c r="AU2" i="1"/>
  <c r="AW3" i="1"/>
  <c r="AX3" i="1" s="1"/>
  <c r="AS9" i="1"/>
  <c r="AW9" i="1" s="1"/>
  <c r="AX9" i="1" s="1"/>
  <c r="AS12" i="1"/>
  <c r="AW12" i="1" s="1"/>
  <c r="AX12" i="1" s="1"/>
  <c r="AS15" i="1"/>
  <c r="AW19" i="1"/>
  <c r="AX19" i="1" s="1"/>
  <c r="AS21" i="1"/>
  <c r="AS5" i="1"/>
  <c r="AW5" i="1" s="1"/>
  <c r="AX5" i="1" s="1"/>
  <c r="AS8" i="1"/>
  <c r="AW8" i="1" s="1"/>
  <c r="AX8" i="1" s="1"/>
  <c r="AS11" i="1"/>
  <c r="AW11" i="1" s="1"/>
  <c r="AX11" i="1" s="1"/>
  <c r="AS17" i="1"/>
  <c r="AS4" i="1"/>
  <c r="AS7" i="1"/>
  <c r="AS6" i="1"/>
  <c r="AW6" i="1" s="1"/>
  <c r="AX6" i="1" s="1"/>
  <c r="AY6" i="1" s="1"/>
  <c r="AS16" i="1"/>
  <c r="AW16" i="1" s="1"/>
  <c r="AX16" i="1" s="1"/>
  <c r="AW2" i="1" l="1"/>
  <c r="AX2" i="1" s="1"/>
  <c r="AY2" i="1" s="1"/>
  <c r="AW4" i="1"/>
  <c r="AX4" i="1" s="1"/>
  <c r="AW17" i="1"/>
  <c r="AX17" i="1" s="1"/>
  <c r="AW21" i="1"/>
  <c r="AX21" i="1" s="1"/>
  <c r="AW7" i="1"/>
  <c r="AX7" i="1" s="1"/>
  <c r="AW15" i="1"/>
  <c r="AX15" i="1" s="1"/>
  <c r="AY12" i="1"/>
  <c r="AY18" i="1"/>
  <c r="AY13" i="1"/>
  <c r="AY20" i="1"/>
  <c r="AY16" i="1"/>
  <c r="AY9" i="1"/>
  <c r="AY11" i="1"/>
  <c r="AY19" i="1"/>
  <c r="AY3" i="1"/>
  <c r="AY14" i="1"/>
  <c r="AY8" i="1"/>
  <c r="AY5" i="1"/>
  <c r="AY10" i="1"/>
  <c r="AY21" i="1" l="1"/>
  <c r="AY15" i="1"/>
  <c r="AT24" i="1" s="1"/>
  <c r="AY4" i="1"/>
  <c r="AY17" i="1"/>
  <c r="AY7" i="1"/>
  <c r="AS23" i="1"/>
  <c r="AS24" i="1" l="1"/>
</calcChain>
</file>

<file path=xl/sharedStrings.xml><?xml version="1.0" encoding="utf-8"?>
<sst xmlns="http://schemas.openxmlformats.org/spreadsheetml/2006/main" count="215" uniqueCount="71">
  <si>
    <t>id</t>
  </si>
  <si>
    <t>artist_name</t>
  </si>
  <si>
    <t>track_name</t>
  </si>
  <si>
    <t>danceability</t>
  </si>
  <si>
    <t>energy</t>
  </si>
  <si>
    <t>key</t>
  </si>
  <si>
    <t>loudness</t>
  </si>
  <si>
    <t>speechiness</t>
  </si>
  <si>
    <t>acousticness</t>
  </si>
  <si>
    <t>instrumentalness</t>
  </si>
  <si>
    <t>liveness</t>
  </si>
  <si>
    <t>valence</t>
  </si>
  <si>
    <t>tempo</t>
  </si>
  <si>
    <t>Olivia Rodrigo</t>
  </si>
  <si>
    <t>drivers license</t>
  </si>
  <si>
    <t>Lil Nas X</t>
  </si>
  <si>
    <t>MONTERO (Call Me By Your Name)</t>
  </si>
  <si>
    <t>The Kid LAROI</t>
  </si>
  <si>
    <t>STAY (with Justin Bieber)</t>
  </si>
  <si>
    <t>good 4 u</t>
  </si>
  <si>
    <t>Dua Lipa</t>
  </si>
  <si>
    <t>Levitating (feat. DaBaby)</t>
  </si>
  <si>
    <t>Justin Bieber</t>
  </si>
  <si>
    <t>Peaches (feat. Daniel Caesar &amp; Giveon)</t>
  </si>
  <si>
    <t>Doja Cat</t>
  </si>
  <si>
    <t>Kiss Me More (feat. SZA)</t>
  </si>
  <si>
    <t>The Weeknd</t>
  </si>
  <si>
    <t>Blinding Lights</t>
  </si>
  <si>
    <t>Glass Animals</t>
  </si>
  <si>
    <t>Heat Waves</t>
  </si>
  <si>
    <t>MÃ¥neskin</t>
  </si>
  <si>
    <t>Beggin'</t>
  </si>
  <si>
    <t>Masked Wolf</t>
  </si>
  <si>
    <t>Astronaut In The Ocean</t>
  </si>
  <si>
    <t>Bad Bunny</t>
  </si>
  <si>
    <t>DÃKITI</t>
  </si>
  <si>
    <t>INDUSTRY BABY (feat. Jack Harlow)</t>
  </si>
  <si>
    <t>Ed Sheeran</t>
  </si>
  <si>
    <t>Bad Habits</t>
  </si>
  <si>
    <t>Save Your Tears</t>
  </si>
  <si>
    <t>BTS</t>
  </si>
  <si>
    <t>Butter</t>
  </si>
  <si>
    <t>Bruno Mars</t>
  </si>
  <si>
    <t>Leave The Door Open</t>
  </si>
  <si>
    <t>deja vu</t>
  </si>
  <si>
    <t>Rauw Alejandro</t>
  </si>
  <si>
    <t>Todo De Ti</t>
  </si>
  <si>
    <t>24kGoldn</t>
  </si>
  <si>
    <t>Mood (feat. iann dior)</t>
  </si>
  <si>
    <t>Standardization</t>
  </si>
  <si>
    <t>Mean</t>
  </si>
  <si>
    <t>SD</t>
  </si>
  <si>
    <t>Determine the distance of each object to the centroids</t>
  </si>
  <si>
    <t>C1</t>
  </si>
  <si>
    <t>C2</t>
  </si>
  <si>
    <t>C3</t>
  </si>
  <si>
    <t>C4</t>
  </si>
  <si>
    <t>Cluster</t>
  </si>
  <si>
    <t>SSE</t>
  </si>
  <si>
    <t>dist-sq</t>
  </si>
  <si>
    <t>check</t>
  </si>
  <si>
    <t>ID</t>
  </si>
  <si>
    <t>1st run</t>
  </si>
  <si>
    <t>Converge</t>
  </si>
  <si>
    <t>FALSE</t>
  </si>
  <si>
    <t>TRUE</t>
  </si>
  <si>
    <t>Final RUN</t>
  </si>
  <si>
    <t>2nd run</t>
  </si>
  <si>
    <t>3rd run</t>
  </si>
  <si>
    <t>4th run</t>
  </si>
  <si>
    <t>Dataset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</si>
</sst>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00E+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rgb="FF000000"/>
      <name val="Arial"/>
      <family val="2"/>
    </font>
    <font>
      <sz val="8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4">
    <xf numFmtId="0" fontId="0" fillId="0" borderId="0" xfId="0"/>
    <xf numFmtId="11" fontId="0" fillId="0" borderId="0" xfId="0" applyNumberFormat="1"/>
    <xf numFmtId="0" fontId="16" fillId="0" borderId="0" xfId="0" applyFont="1" applyAlignment="1">
      <alignment horizontal="center"/>
    </xf>
    <xf numFmtId="0" fontId="16" fillId="0" borderId="0" xfId="0" applyFont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166" fontId="0" fillId="0" borderId="0" xfId="0" applyNumberFormat="1"/>
    <xf numFmtId="0" fontId="0" fillId="33" borderId="0" xfId="0" applyFill="1"/>
    <xf numFmtId="166" fontId="0" fillId="33" borderId="0" xfId="0" applyNumberFormat="1" applyFill="1"/>
    <xf numFmtId="1" fontId="0" fillId="33" borderId="0" xfId="0" applyNumberFormat="1" applyFill="1"/>
    <xf numFmtId="0" fontId="0" fillId="34" borderId="0" xfId="0" applyFill="1"/>
    <xf numFmtId="166" fontId="0" fillId="34" borderId="0" xfId="0" applyNumberFormat="1" applyFill="1"/>
    <xf numFmtId="1" fontId="0" fillId="34" borderId="0" xfId="0" applyNumberFormat="1" applyFill="1"/>
    <xf numFmtId="0" fontId="0" fillId="35" borderId="0" xfId="0" applyFill="1"/>
    <xf numFmtId="166" fontId="0" fillId="35" borderId="0" xfId="0" applyNumberFormat="1" applyFill="1"/>
    <xf numFmtId="1" fontId="0" fillId="35" borderId="0" xfId="0" applyNumberFormat="1" applyFill="1"/>
    <xf numFmtId="0" fontId="0" fillId="36" borderId="0" xfId="0" applyFill="1"/>
    <xf numFmtId="166" fontId="0" fillId="36" borderId="0" xfId="0" applyNumberFormat="1" applyFill="1"/>
    <xf numFmtId="1" fontId="0" fillId="36" borderId="0" xfId="0" applyNumberFormat="1" applyFill="1"/>
    <xf numFmtId="165" fontId="16" fillId="0" borderId="0" xfId="0" applyNumberFormat="1" applyFont="1"/>
    <xf numFmtId="1" fontId="16" fillId="0" borderId="0" xfId="0" applyNumberFormat="1" applyFont="1"/>
    <xf numFmtId="165" fontId="16" fillId="35" borderId="0" xfId="0" applyNumberFormat="1" applyFont="1" applyFill="1" applyAlignment="1">
      <alignment horizontal="center"/>
    </xf>
    <xf numFmtId="0" fontId="18" fillId="0" borderId="0" xfId="0" applyFont="1" applyAlignment="1">
      <alignment horizontal="center"/>
    </xf>
    <xf numFmtId="0" fontId="16" fillId="33" borderId="0" xfId="0" applyFont="1" applyFill="1" applyAlignment="1">
      <alignment horizontal="center"/>
    </xf>
    <xf numFmtId="0" fontId="16" fillId="0" borderId="0" xfId="0" applyFon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 wrapText="1"/>
    </xf>
    <xf numFmtId="165" fontId="16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0" fontId="16" fillId="0" borderId="0" xfId="0" applyFont="1" applyAlignment="1">
      <alignment horizontal="right"/>
    </xf>
    <xf numFmtId="165" fontId="0" fillId="0" borderId="0" xfId="0" applyNumberFormat="1" applyAlignment="1">
      <alignment horizontal="right"/>
    </xf>
    <xf numFmtId="165" fontId="0" fillId="0" borderId="0" xfId="0" applyNumberFormat="1" applyAlignment="1"/>
    <xf numFmtId="165" fontId="16" fillId="0" borderId="0" xfId="0" applyNumberFormat="1" applyFont="1" applyAlignme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X76"/>
  <sheetViews>
    <sheetView tabSelected="1" topLeftCell="AC1" zoomScale="60" zoomScaleNormal="60" workbookViewId="0">
      <selection activeCell="AT3" sqref="AT3"/>
    </sheetView>
  </sheetViews>
  <sheetFormatPr defaultRowHeight="14.5" x14ac:dyDescent="0.35"/>
  <cols>
    <col min="1" max="1" width="3.54296875" customWidth="1"/>
    <col min="2" max="2" width="15.54296875" customWidth="1"/>
    <col min="3" max="3" width="14.1796875" customWidth="1"/>
    <col min="4" max="5" width="9.1796875" customWidth="1"/>
    <col min="6" max="6" width="8.54296875" customWidth="1"/>
    <col min="7" max="7" width="9.1796875" customWidth="1"/>
    <col min="8" max="8" width="11.1796875" customWidth="1"/>
    <col min="9" max="9" width="13" customWidth="1"/>
    <col min="10" max="10" width="16" customWidth="1"/>
    <col min="11" max="14" width="9.1796875" customWidth="1"/>
    <col min="15" max="15" width="6.81640625" customWidth="1"/>
    <col min="16" max="16" width="12.1796875" customWidth="1"/>
    <col min="17" max="17" width="7" customWidth="1"/>
    <col min="18" max="18" width="6.54296875" customWidth="1"/>
    <col min="20" max="20" width="11.453125" customWidth="1"/>
    <col min="21" max="21" width="11.7265625" customWidth="1"/>
    <col min="22" max="22" width="16" customWidth="1"/>
    <col min="25" max="25" width="6.81640625" customWidth="1"/>
    <col min="30" max="30" width="9.6328125" customWidth="1"/>
    <col min="31" max="31" width="3.7265625" customWidth="1"/>
    <col min="32" max="32" width="6.453125" customWidth="1"/>
    <col min="33" max="42" width="12.26953125" customWidth="1"/>
    <col min="43" max="43" width="3.26953125" customWidth="1"/>
    <col min="44" max="44" width="9.54296875" customWidth="1"/>
    <col min="45" max="48" width="9.1796875" customWidth="1"/>
    <col min="49" max="49" width="9.453125" customWidth="1"/>
    <col min="50" max="50" width="7.36328125" customWidth="1"/>
    <col min="51" max="53" width="9.1796875" customWidth="1"/>
    <col min="54" max="54" width="9.1796875" style="29" customWidth="1"/>
    <col min="55" max="55" width="9.1796875" customWidth="1"/>
    <col min="56" max="56" width="16.54296875" customWidth="1"/>
    <col min="57" max="64" width="9.1796875" customWidth="1"/>
    <col min="65" max="65" width="10.1796875" customWidth="1"/>
    <col min="66" max="77" width="9.1796875" customWidth="1"/>
    <col min="78" max="78" width="8.7265625" customWidth="1"/>
  </cols>
  <sheetData>
    <row r="1" spans="1:75" ht="15.5" x14ac:dyDescent="0.35">
      <c r="A1" s="24" t="s">
        <v>70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O1" s="22" t="s">
        <v>49</v>
      </c>
      <c r="P1" s="22"/>
      <c r="Q1" s="22"/>
      <c r="R1" s="22"/>
      <c r="S1" s="22"/>
      <c r="T1" s="22"/>
      <c r="U1" s="22"/>
      <c r="V1" s="22"/>
      <c r="W1" s="22"/>
      <c r="X1" s="22"/>
      <c r="Y1" s="22"/>
      <c r="Z1" s="27" t="s">
        <v>66</v>
      </c>
      <c r="AA1" s="32"/>
      <c r="AB1" s="5"/>
      <c r="AC1" s="5"/>
      <c r="AF1" s="23" t="s">
        <v>52</v>
      </c>
      <c r="AG1" s="23"/>
      <c r="AH1" s="23"/>
      <c r="AI1" s="23"/>
      <c r="AJ1" s="23"/>
      <c r="AK1" s="23"/>
      <c r="AL1" s="23"/>
      <c r="AM1" s="23"/>
      <c r="AN1" s="23"/>
      <c r="AO1" s="23"/>
      <c r="AP1" s="23"/>
      <c r="AR1" t="s">
        <v>61</v>
      </c>
      <c r="AS1" t="s">
        <v>53</v>
      </c>
      <c r="AT1" t="s">
        <v>54</v>
      </c>
      <c r="AU1" t="s">
        <v>55</v>
      </c>
      <c r="AV1" t="s">
        <v>56</v>
      </c>
      <c r="AW1" t="s">
        <v>59</v>
      </c>
      <c r="AX1" t="s">
        <v>57</v>
      </c>
      <c r="AY1" t="s">
        <v>60</v>
      </c>
      <c r="BA1" s="26" t="s">
        <v>62</v>
      </c>
      <c r="BB1" s="26"/>
      <c r="BC1" s="26"/>
      <c r="BD1" s="26"/>
      <c r="BE1" s="26"/>
      <c r="BF1" s="26"/>
      <c r="BG1" s="26"/>
      <c r="BH1" s="26"/>
      <c r="BI1" s="26"/>
      <c r="BJ1" s="26"/>
      <c r="BK1" s="26"/>
      <c r="BM1" s="25"/>
      <c r="BN1" s="25"/>
      <c r="BO1" s="25"/>
      <c r="BP1" s="25"/>
      <c r="BQ1" s="25"/>
      <c r="BR1" s="25"/>
      <c r="BS1" s="25"/>
      <c r="BT1" s="25"/>
      <c r="BU1" s="25"/>
      <c r="BV1" s="25"/>
      <c r="BW1" s="25"/>
    </row>
    <row r="2" spans="1:75" x14ac:dyDescent="0.35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  <c r="O2" s="20" t="s">
        <v>0</v>
      </c>
      <c r="P2" s="20" t="s">
        <v>3</v>
      </c>
      <c r="Q2" s="20" t="s">
        <v>4</v>
      </c>
      <c r="R2" s="20" t="s">
        <v>5</v>
      </c>
      <c r="S2" s="20" t="s">
        <v>6</v>
      </c>
      <c r="T2" s="20" t="s">
        <v>7</v>
      </c>
      <c r="U2" s="20" t="s">
        <v>8</v>
      </c>
      <c r="V2" s="20" t="s">
        <v>9</v>
      </c>
      <c r="W2" s="20" t="s">
        <v>10</v>
      </c>
      <c r="X2" s="20" t="s">
        <v>11</v>
      </c>
      <c r="Y2" s="20" t="s">
        <v>12</v>
      </c>
      <c r="Z2" s="27"/>
      <c r="AA2" s="33" t="s">
        <v>62</v>
      </c>
      <c r="AB2" s="20" t="s">
        <v>67</v>
      </c>
      <c r="AC2" s="20" t="s">
        <v>68</v>
      </c>
      <c r="AD2" s="20" t="s">
        <v>69</v>
      </c>
      <c r="AG2" t="s">
        <v>3</v>
      </c>
      <c r="AH2" t="s">
        <v>4</v>
      </c>
      <c r="AI2" t="s">
        <v>5</v>
      </c>
      <c r="AJ2" t="s">
        <v>6</v>
      </c>
      <c r="AK2" t="s">
        <v>7</v>
      </c>
      <c r="AL2" t="s">
        <v>8</v>
      </c>
      <c r="AM2" t="s">
        <v>9</v>
      </c>
      <c r="AN2" t="s">
        <v>10</v>
      </c>
      <c r="AO2" t="s">
        <v>11</v>
      </c>
      <c r="AP2" t="s">
        <v>12</v>
      </c>
      <c r="AR2">
        <v>1</v>
      </c>
      <c r="AS2" s="5">
        <f>SUMXMY2(P3:Y3,$AG$3:$AP$3)</f>
        <v>4.7549176852649948</v>
      </c>
      <c r="AT2" s="5">
        <f>SUMXMY2(P3:Y3,$AG$4:$AP$4)</f>
        <v>17.712206515224352</v>
      </c>
      <c r="AU2" s="5">
        <f>SUMXMY2(P3:Y3,$AG$5:$AP$5)</f>
        <v>31.278602335790882</v>
      </c>
      <c r="AV2" s="5">
        <f>SUMXMY2(P3:Y3,$AG$6:$AP$6)</f>
        <v>22.356640508121245</v>
      </c>
      <c r="AW2" s="5">
        <f>MIN(AS2:AV2)</f>
        <v>4.7549176852649948</v>
      </c>
      <c r="AX2">
        <f>IF(AW2=AS2,1,IF(AW2=AT2,2,IF(AW2=AU2,3,4)))</f>
        <v>1</v>
      </c>
      <c r="AY2" t="b">
        <f t="shared" ref="AY2:AY21" si="0">AND(AX2=Z3)</f>
        <v>1</v>
      </c>
      <c r="BB2" s="29" t="s">
        <v>3</v>
      </c>
      <c r="BC2" t="s">
        <v>4</v>
      </c>
      <c r="BD2" t="s">
        <v>5</v>
      </c>
      <c r="BE2" t="s">
        <v>6</v>
      </c>
      <c r="BF2" t="s">
        <v>7</v>
      </c>
      <c r="BG2" t="s">
        <v>8</v>
      </c>
      <c r="BH2" t="s">
        <v>9</v>
      </c>
      <c r="BI2" t="s">
        <v>10</v>
      </c>
      <c r="BJ2" t="s">
        <v>11</v>
      </c>
      <c r="BK2" t="s">
        <v>12</v>
      </c>
    </row>
    <row r="3" spans="1:75" x14ac:dyDescent="0.35">
      <c r="A3" s="3">
        <v>1</v>
      </c>
      <c r="B3" s="3" t="s">
        <v>13</v>
      </c>
      <c r="C3" s="3" t="s">
        <v>14</v>
      </c>
      <c r="D3">
        <v>0.56100000000000005</v>
      </c>
      <c r="E3">
        <v>0.43099999999999999</v>
      </c>
      <c r="F3">
        <v>10</v>
      </c>
      <c r="G3">
        <v>-8.81</v>
      </c>
      <c r="H3">
        <v>5.7799999999999997E-2</v>
      </c>
      <c r="I3">
        <v>0.76800000000000002</v>
      </c>
      <c r="J3" s="7">
        <v>1.42E-5</v>
      </c>
      <c r="K3">
        <v>0.106</v>
      </c>
      <c r="L3">
        <v>0.13700000000000001</v>
      </c>
      <c r="M3">
        <v>143.875</v>
      </c>
      <c r="O3" s="21">
        <v>1</v>
      </c>
      <c r="P3" s="5">
        <f t="shared" ref="P3:P22" si="1">STANDARDIZE(D3,D$23,D$24)</f>
        <v>-1.0865667450515817</v>
      </c>
      <c r="Q3" s="5">
        <f t="shared" ref="Q3:Q22" si="2">STANDARDIZE(E3,E$23,E$24)</f>
        <v>-1.9156216410782116</v>
      </c>
      <c r="R3" s="5">
        <f t="shared" ref="R3:R22" si="3">STANDARDIZE(F3,F$23,F$24)</f>
        <v>1.0457972441002501</v>
      </c>
      <c r="S3" s="5">
        <f t="shared" ref="S3:S22" si="4">STANDARDIZE(G3,G$23,G$24)</f>
        <v>-1.5674101496964283</v>
      </c>
      <c r="T3" s="5">
        <f t="shared" ref="T3:T22" si="5">STANDARDIZE(H3,H$23,H$24)</f>
        <v>-0.35461170897586713</v>
      </c>
      <c r="U3" s="5">
        <f t="shared" ref="U3:U22" si="6">STANDARDIZE(I3,I$23,I$24)</f>
        <v>2.5725378090861062</v>
      </c>
      <c r="V3" s="5">
        <f t="shared" ref="V3:V22" si="7">STANDARDIZE(J3,J$23,J$24)</f>
        <v>-0.21701793003850675</v>
      </c>
      <c r="W3" s="5">
        <f t="shared" ref="W3:W22" si="8">STANDARDIZE(K3,K$23,K$24)</f>
        <v>-0.62105661699268355</v>
      </c>
      <c r="X3" s="5">
        <f t="shared" ref="X3:X22" si="9">STANDARDIZE(L3,L$23,L$24)</f>
        <v>-1.7724423959101467</v>
      </c>
      <c r="Y3" s="5">
        <f t="shared" ref="Y3:Y22" si="10">STANDARDIZE(M3,M$23,M$24)</f>
        <v>0.34764822584197114</v>
      </c>
      <c r="Z3" s="6">
        <v>1</v>
      </c>
      <c r="AA3" s="6">
        <v>1</v>
      </c>
      <c r="AB3" s="6">
        <v>1</v>
      </c>
      <c r="AC3" s="6">
        <v>1</v>
      </c>
      <c r="AD3">
        <v>1</v>
      </c>
      <c r="AE3" s="6"/>
      <c r="AF3">
        <v>1</v>
      </c>
      <c r="AG3" s="5">
        <f t="shared" ref="AG3:AP3" si="11">AVERAGEIF($Z$3:$Z$22,1,P$3:P$22)</f>
        <v>0.11801661275841153</v>
      </c>
      <c r="AH3" s="5">
        <f t="shared" si="11"/>
        <v>-1.2907177675631685</v>
      </c>
      <c r="AI3" s="5">
        <f t="shared" si="11"/>
        <v>0.61542800784500318</v>
      </c>
      <c r="AJ3" s="5">
        <f t="shared" si="11"/>
        <v>-1.4480266102249428</v>
      </c>
      <c r="AK3" s="5">
        <f t="shared" si="11"/>
        <v>-0.12417309597921826</v>
      </c>
      <c r="AL3" s="5">
        <f t="shared" si="11"/>
        <v>1.4748615340258366</v>
      </c>
      <c r="AM3" s="5">
        <f t="shared" si="11"/>
        <v>-1.244222717420577E-2</v>
      </c>
      <c r="AN3" s="5">
        <f t="shared" si="11"/>
        <v>-0.63595860665501902</v>
      </c>
      <c r="AO3" s="5">
        <f t="shared" si="11"/>
        <v>-1.1957584550288558</v>
      </c>
      <c r="AP3" s="5">
        <f t="shared" si="11"/>
        <v>-0.69220216957446723</v>
      </c>
      <c r="AR3">
        <v>2</v>
      </c>
      <c r="AS3" s="5">
        <f>SUMXMY2(P4:Y4,$AG$3:$AP$3)</f>
        <v>25.359013463668653</v>
      </c>
      <c r="AT3" s="5">
        <f>SUMXMY2(P4:Y4,$AG$4:$AP$4)</f>
        <v>5.565399010954688</v>
      </c>
      <c r="AU3" s="5">
        <f t="shared" ref="AU3:AU21" si="12">SUMXMY2(P4:Y4,$AG$5:$AP$5)</f>
        <v>26.908183380559571</v>
      </c>
      <c r="AV3" s="5">
        <f t="shared" ref="AV3:AV21" si="13">SUMXMY2(P4:Y4,$AG$6:$AP$6)</f>
        <v>18.420320327791082</v>
      </c>
      <c r="AW3" s="5">
        <f t="shared" ref="AW3:AW21" si="14">MIN(AS3:AV3)</f>
        <v>5.565399010954688</v>
      </c>
      <c r="AX3">
        <f t="shared" ref="AX3:AX21" si="15">IF(AW3=AS3,1,IF(AW3=AT3,2,IF(AW3=AU3,3,4)))</f>
        <v>2</v>
      </c>
      <c r="AY3" t="b">
        <f t="shared" si="0"/>
        <v>1</v>
      </c>
      <c r="BA3">
        <v>1</v>
      </c>
      <c r="BB3" s="29">
        <v>-2.002212878522034E-2</v>
      </c>
      <c r="BC3">
        <v>-0.43332846991837659</v>
      </c>
      <c r="BD3">
        <v>0.63264277729521301</v>
      </c>
      <c r="BE3">
        <v>-0.57109039607993506</v>
      </c>
      <c r="BF3">
        <v>-0.25924343962122992</v>
      </c>
      <c r="BG3">
        <v>0.28014435868894344</v>
      </c>
      <c r="BH3">
        <v>-0.41864237686148653</v>
      </c>
      <c r="BI3">
        <v>-0.78199810534590708</v>
      </c>
      <c r="BJ3">
        <v>0.38710985434531464</v>
      </c>
      <c r="BK3">
        <v>-0.25390595723463072</v>
      </c>
    </row>
    <row r="4" spans="1:75" x14ac:dyDescent="0.35">
      <c r="A4" s="3">
        <v>2</v>
      </c>
      <c r="B4" s="3" t="s">
        <v>15</v>
      </c>
      <c r="C4" s="3" t="s">
        <v>16</v>
      </c>
      <c r="D4">
        <v>0.59299999999999997</v>
      </c>
      <c r="E4">
        <v>0.503</v>
      </c>
      <c r="F4">
        <v>8</v>
      </c>
      <c r="G4">
        <v>-6.7249999999999996</v>
      </c>
      <c r="H4">
        <v>0.22</v>
      </c>
      <c r="I4">
        <v>0.29299999999999998</v>
      </c>
      <c r="J4" s="7">
        <v>0</v>
      </c>
      <c r="K4">
        <v>0.40500000000000003</v>
      </c>
      <c r="L4">
        <v>0.71</v>
      </c>
      <c r="M4">
        <v>178.78100000000001</v>
      </c>
      <c r="O4" s="21">
        <v>2</v>
      </c>
      <c r="P4" s="5">
        <f t="shared" si="1"/>
        <v>-0.77402619816034091</v>
      </c>
      <c r="Q4" s="5">
        <f t="shared" si="2"/>
        <v>-1.3436757229457994</v>
      </c>
      <c r="R4" s="5">
        <f t="shared" si="3"/>
        <v>0.52935416059395379</v>
      </c>
      <c r="S4" s="5">
        <f t="shared" si="4"/>
        <v>-0.43769148192919477</v>
      </c>
      <c r="T4" s="5">
        <f t="shared" si="5"/>
        <v>3.022840974282246</v>
      </c>
      <c r="U4" s="5">
        <f t="shared" si="6"/>
        <v>0.32190659763159613</v>
      </c>
      <c r="V4" s="5">
        <f t="shared" si="7"/>
        <v>-0.50275317403913689</v>
      </c>
      <c r="W4" s="5">
        <f t="shared" si="8"/>
        <v>1.3162020391109346</v>
      </c>
      <c r="X4" s="5">
        <f t="shared" si="9"/>
        <v>0.6935269930822392</v>
      </c>
      <c r="Y4" s="5">
        <f t="shared" si="10"/>
        <v>1.4707921909712991</v>
      </c>
      <c r="Z4" s="6">
        <v>2</v>
      </c>
      <c r="AA4" s="6">
        <v>2</v>
      </c>
      <c r="AB4" s="6">
        <v>2</v>
      </c>
      <c r="AC4" s="6">
        <v>2</v>
      </c>
      <c r="AD4">
        <v>2</v>
      </c>
      <c r="AE4" s="6"/>
      <c r="AF4">
        <v>2</v>
      </c>
      <c r="AG4" s="5">
        <f t="shared" ref="AG4:AP4" si="16">AVERAGEIF($Z$3:$Z$22,2,P$3:P$22)</f>
        <v>-1.0108733313513598</v>
      </c>
      <c r="AH4" s="5">
        <f t="shared" si="16"/>
        <v>-0.42419322261487269</v>
      </c>
      <c r="AI4" s="5">
        <f t="shared" si="16"/>
        <v>-0.30986585010377787</v>
      </c>
      <c r="AJ4" s="5">
        <f>AVERAGEIF($Z$3:$Z$22,2,S$3:S$22)</f>
        <v>-0.20362027594576826</v>
      </c>
      <c r="AK4" s="5">
        <f>AVERAGEIF($Z$3:$Z$22,2,T$3:T$22)</f>
        <v>1.5912757956509556</v>
      </c>
      <c r="AL4" s="5">
        <f t="shared" si="16"/>
        <v>0.74952652780795304</v>
      </c>
      <c r="AM4" s="5">
        <f t="shared" si="16"/>
        <v>-0.47407903863766521</v>
      </c>
      <c r="AN4" s="5">
        <f t="shared" si="16"/>
        <v>0.76531435605003106</v>
      </c>
      <c r="AO4" s="5">
        <f t="shared" si="16"/>
        <v>-0.16719530674058314</v>
      </c>
      <c r="AP4" s="5">
        <f t="shared" si="16"/>
        <v>0.67870959801912267</v>
      </c>
      <c r="AR4">
        <v>3</v>
      </c>
      <c r="AS4" s="5">
        <f t="shared" ref="AS2:AS21" si="17">SUMXMY2(P5:Y5,$AG$3:$AP$3)</f>
        <v>21.6435653640448</v>
      </c>
      <c r="AT4" s="5">
        <f t="shared" ref="AT3:AT21" si="18">SUMXMY2(P5:Y5,$AG$4:$AP$4)</f>
        <v>12.028534522937665</v>
      </c>
      <c r="AU4" s="5">
        <f t="shared" si="12"/>
        <v>6.3498916399805116</v>
      </c>
      <c r="AV4" s="5">
        <f t="shared" si="13"/>
        <v>7.7734173244871005</v>
      </c>
      <c r="AW4" s="5">
        <f t="shared" si="14"/>
        <v>6.3498916399805116</v>
      </c>
      <c r="AX4">
        <f t="shared" si="15"/>
        <v>3</v>
      </c>
      <c r="AY4" t="b">
        <f t="shared" si="0"/>
        <v>1</v>
      </c>
      <c r="BA4">
        <v>2</v>
      </c>
      <c r="BB4" s="29">
        <v>-0.25052078211751094</v>
      </c>
      <c r="BC4">
        <v>0.22758681325685556</v>
      </c>
      <c r="BD4">
        <v>0.1161996937889167</v>
      </c>
      <c r="BE4">
        <v>9.8071500655092778E-2</v>
      </c>
      <c r="BF4">
        <v>0.67444939833989093</v>
      </c>
      <c r="BG4">
        <v>0.2319761125928454</v>
      </c>
      <c r="BH4">
        <v>-0.36753198814588095</v>
      </c>
      <c r="BI4">
        <v>1.180140394367871</v>
      </c>
      <c r="BJ4">
        <v>-0.22916731232782625</v>
      </c>
      <c r="BK4">
        <v>0.28565103934076252</v>
      </c>
    </row>
    <row r="5" spans="1:75" x14ac:dyDescent="0.35">
      <c r="A5" s="3">
        <v>3</v>
      </c>
      <c r="B5" s="3" t="s">
        <v>17</v>
      </c>
      <c r="C5" s="3" t="s">
        <v>18</v>
      </c>
      <c r="D5">
        <v>0.59099999999999997</v>
      </c>
      <c r="E5">
        <v>0.76400000000000001</v>
      </c>
      <c r="F5">
        <v>1</v>
      </c>
      <c r="G5">
        <v>-5.484</v>
      </c>
      <c r="H5">
        <v>4.8300000000000003E-2</v>
      </c>
      <c r="I5">
        <v>3.8300000000000001E-2</v>
      </c>
      <c r="J5" s="7">
        <v>0</v>
      </c>
      <c r="K5">
        <v>0.10299999999999999</v>
      </c>
      <c r="L5">
        <v>0.47799999999999998</v>
      </c>
      <c r="M5">
        <v>169.928</v>
      </c>
      <c r="O5" s="21">
        <v>3</v>
      </c>
      <c r="P5" s="5">
        <f t="shared" si="1"/>
        <v>-0.79355998234104352</v>
      </c>
      <c r="Q5" s="5">
        <f t="shared" si="2"/>
        <v>0.72962823028419532</v>
      </c>
      <c r="R5" s="5">
        <f t="shared" si="3"/>
        <v>-1.2781966316780837</v>
      </c>
      <c r="S5" s="5">
        <f t="shared" si="4"/>
        <v>0.23472140377782474</v>
      </c>
      <c r="T5" s="5">
        <f t="shared" si="5"/>
        <v>-0.55242798820491801</v>
      </c>
      <c r="U5" s="5">
        <f t="shared" si="6"/>
        <v>-0.88490554880516958</v>
      </c>
      <c r="V5" s="5">
        <f t="shared" si="7"/>
        <v>-0.50275317403913689</v>
      </c>
      <c r="W5" s="5">
        <f t="shared" si="8"/>
        <v>-0.64049399481312119</v>
      </c>
      <c r="X5" s="5">
        <f t="shared" si="9"/>
        <v>-0.30491087471223471</v>
      </c>
      <c r="Y5" s="5">
        <f t="shared" si="10"/>
        <v>1.1859359048517224</v>
      </c>
      <c r="Z5" s="6">
        <v>3</v>
      </c>
      <c r="AA5" s="6">
        <v>3</v>
      </c>
      <c r="AB5" s="6">
        <v>3</v>
      </c>
      <c r="AC5" s="6">
        <v>3</v>
      </c>
      <c r="AD5">
        <v>3</v>
      </c>
      <c r="AE5" s="6"/>
      <c r="AF5">
        <v>3</v>
      </c>
      <c r="AG5" s="5">
        <f t="shared" ref="AG5:AP5" si="19">AVERAGEIF($Z$3:$Z$22,3,P$3:P$22)</f>
        <v>0.22002637459096944</v>
      </c>
      <c r="AH5" s="5">
        <f t="shared" si="19"/>
        <v>0.81965675443466735</v>
      </c>
      <c r="AI5" s="5">
        <f t="shared" si="19"/>
        <v>-0.15923661741444139</v>
      </c>
      <c r="AJ5" s="5">
        <f t="shared" si="19"/>
        <v>0.79846697292103663</v>
      </c>
      <c r="AK5" s="5">
        <f t="shared" si="19"/>
        <v>-0.6343308687278234</v>
      </c>
      <c r="AL5" s="5">
        <f t="shared" si="19"/>
        <v>-0.55208062586495288</v>
      </c>
      <c r="AM5" s="5">
        <f t="shared" si="19"/>
        <v>0.4382950591366474</v>
      </c>
      <c r="AN5" s="5">
        <f t="shared" si="19"/>
        <v>0.17889946575066112</v>
      </c>
      <c r="AO5" s="5">
        <f t="shared" si="19"/>
        <v>0.19430805918500241</v>
      </c>
      <c r="AP5" s="5">
        <f t="shared" si="19"/>
        <v>-0.16346068107253245</v>
      </c>
      <c r="AR5">
        <v>4</v>
      </c>
      <c r="AS5" s="5">
        <f t="shared" si="17"/>
        <v>17.330342755933248</v>
      </c>
      <c r="AT5" s="5">
        <f t="shared" si="18"/>
        <v>4.9263601969668285</v>
      </c>
      <c r="AU5" s="5">
        <f t="shared" si="12"/>
        <v>13.300025665049985</v>
      </c>
      <c r="AV5" s="5">
        <f t="shared" si="13"/>
        <v>8.7061080387857022</v>
      </c>
      <c r="AW5" s="5">
        <f t="shared" si="14"/>
        <v>4.9263601969668285</v>
      </c>
      <c r="AX5">
        <f t="shared" si="15"/>
        <v>2</v>
      </c>
      <c r="AY5" t="b">
        <f t="shared" si="0"/>
        <v>1</v>
      </c>
      <c r="BA5">
        <v>3</v>
      </c>
      <c r="BB5" s="29">
        <v>0.45269544838778286</v>
      </c>
      <c r="BC5">
        <v>0.55327823886003458</v>
      </c>
      <c r="BD5">
        <v>-0.71010923982115759</v>
      </c>
      <c r="BE5">
        <v>0.50650408183635898</v>
      </c>
      <c r="BF5">
        <v>-0.51911156222949895</v>
      </c>
      <c r="BG5">
        <v>-0.31253449545000156</v>
      </c>
      <c r="BH5">
        <v>0.69492018672970168</v>
      </c>
      <c r="BI5">
        <v>-2.2676940790522515E-4</v>
      </c>
      <c r="BJ5">
        <v>-2.8619016469108582E-2</v>
      </c>
      <c r="BK5">
        <v>7.4356081734297461E-2</v>
      </c>
    </row>
    <row r="6" spans="1:75" x14ac:dyDescent="0.35">
      <c r="A6" s="3">
        <v>4</v>
      </c>
      <c r="B6" s="3" t="s">
        <v>13</v>
      </c>
      <c r="C6" s="3" t="s">
        <v>19</v>
      </c>
      <c r="D6">
        <v>0.56299999999999994</v>
      </c>
      <c r="E6">
        <v>0.66400000000000003</v>
      </c>
      <c r="F6">
        <v>9</v>
      </c>
      <c r="G6">
        <v>-5.0439999999999996</v>
      </c>
      <c r="H6">
        <v>0.154</v>
      </c>
      <c r="I6">
        <v>0.33500000000000002</v>
      </c>
      <c r="J6" s="7">
        <v>0</v>
      </c>
      <c r="K6">
        <v>8.4900000000000003E-2</v>
      </c>
      <c r="L6">
        <v>0.68799999999999994</v>
      </c>
      <c r="M6">
        <v>166.928</v>
      </c>
      <c r="O6" s="21">
        <v>4</v>
      </c>
      <c r="P6" s="5">
        <f t="shared" si="1"/>
        <v>-1.0670329608708802</v>
      </c>
      <c r="Q6" s="5">
        <f t="shared" si="2"/>
        <v>-6.4741100455266043E-2</v>
      </c>
      <c r="R6" s="5">
        <f t="shared" si="3"/>
        <v>0.78757570234710195</v>
      </c>
      <c r="S6" s="5">
        <f t="shared" si="4"/>
        <v>0.47312726172390768</v>
      </c>
      <c r="T6" s="5">
        <f t="shared" si="5"/>
        <v>1.6485384027962071</v>
      </c>
      <c r="U6" s="5">
        <f t="shared" si="6"/>
        <v>0.52090977843388986</v>
      </c>
      <c r="V6" s="5">
        <f t="shared" si="7"/>
        <v>-0.50275317403913689</v>
      </c>
      <c r="W6" s="5">
        <f t="shared" si="8"/>
        <v>-0.75776617432976157</v>
      </c>
      <c r="X6" s="5">
        <f t="shared" si="9"/>
        <v>0.59884754010172869</v>
      </c>
      <c r="Y6" s="5">
        <f t="shared" si="10"/>
        <v>1.0894071735336686</v>
      </c>
      <c r="Z6" s="6">
        <v>2</v>
      </c>
      <c r="AA6" s="6">
        <v>4</v>
      </c>
      <c r="AB6" s="6">
        <v>4</v>
      </c>
      <c r="AC6" s="6">
        <v>2</v>
      </c>
      <c r="AD6">
        <v>2</v>
      </c>
      <c r="AE6" s="6"/>
      <c r="AF6">
        <v>4</v>
      </c>
      <c r="AG6" s="5">
        <f t="shared" ref="AG6:AP6" si="20">AVERAGEIF($Z$3:$Z$22,4,P$3:P$22)</f>
        <v>0.42730152895286927</v>
      </c>
      <c r="AH6" s="5">
        <f t="shared" si="20"/>
        <v>-0.45199614919075393</v>
      </c>
      <c r="AI6" s="5">
        <f t="shared" si="20"/>
        <v>0.20657723340251849</v>
      </c>
      <c r="AJ6" s="5">
        <f t="shared" si="20"/>
        <v>-0.50691045545785884</v>
      </c>
      <c r="AK6" s="5">
        <f t="shared" si="20"/>
        <v>-7.0901519028938709E-2</v>
      </c>
      <c r="AL6" s="5">
        <f t="shared" si="20"/>
        <v>-0.61349127013118432</v>
      </c>
      <c r="AM6" s="5">
        <f t="shared" si="20"/>
        <v>-0.50275317403913689</v>
      </c>
      <c r="AN6" s="5">
        <f t="shared" si="20"/>
        <v>-0.69086919899775534</v>
      </c>
      <c r="AO6" s="5">
        <f t="shared" si="20"/>
        <v>0.62682101484597053</v>
      </c>
      <c r="AP6" s="5">
        <f t="shared" si="20"/>
        <v>0.20822856157492875</v>
      </c>
      <c r="AR6">
        <v>5</v>
      </c>
      <c r="AS6" s="5">
        <f t="shared" si="17"/>
        <v>27.772644307431342</v>
      </c>
      <c r="AT6" s="5">
        <f t="shared" si="18"/>
        <v>21.505021364107947</v>
      </c>
      <c r="AU6" s="5">
        <f t="shared" si="12"/>
        <v>5.1917359825314975</v>
      </c>
      <c r="AV6" s="5">
        <f t="shared" si="13"/>
        <v>8.1334916508527435</v>
      </c>
      <c r="AW6" s="5">
        <f t="shared" si="14"/>
        <v>5.1917359825314975</v>
      </c>
      <c r="AX6">
        <f t="shared" si="15"/>
        <v>3</v>
      </c>
      <c r="AY6" t="b">
        <f>AND(AX6=Z7)</f>
        <v>1</v>
      </c>
      <c r="BA6">
        <v>4</v>
      </c>
      <c r="BB6" s="29">
        <v>-0.18215253748505206</v>
      </c>
      <c r="BC6">
        <v>-0.34753658219851469</v>
      </c>
      <c r="BD6">
        <v>-3.873323126297229E-2</v>
      </c>
      <c r="BE6">
        <v>-3.348518641151825E-2</v>
      </c>
      <c r="BF6">
        <v>0.10390560351083847</v>
      </c>
      <c r="BG6">
        <v>-0.19958597583178544</v>
      </c>
      <c r="BH6">
        <v>9.1254178277666048E-2</v>
      </c>
      <c r="BI6">
        <v>-0.39791551961405941</v>
      </c>
      <c r="BJ6">
        <v>-0.12932352554837895</v>
      </c>
      <c r="BK6">
        <v>-0.10610116384042687</v>
      </c>
      <c r="BL6" s="5"/>
      <c r="BM6" s="6"/>
      <c r="BN6" s="5"/>
    </row>
    <row r="7" spans="1:75" x14ac:dyDescent="0.35">
      <c r="A7" s="3">
        <v>5</v>
      </c>
      <c r="B7" s="3" t="s">
        <v>20</v>
      </c>
      <c r="C7" s="3" t="s">
        <v>21</v>
      </c>
      <c r="D7">
        <v>0.70199999999999996</v>
      </c>
      <c r="E7">
        <v>0.82499999999999996</v>
      </c>
      <c r="F7">
        <v>6</v>
      </c>
      <c r="G7">
        <v>-3.7869999999999999</v>
      </c>
      <c r="H7">
        <v>6.0100000000000001E-2</v>
      </c>
      <c r="I7">
        <v>8.8299999999999993E-3</v>
      </c>
      <c r="J7" s="7">
        <v>0</v>
      </c>
      <c r="K7">
        <v>6.7400000000000002E-2</v>
      </c>
      <c r="L7">
        <v>0.91500000000000004</v>
      </c>
      <c r="M7">
        <v>102.977</v>
      </c>
      <c r="O7" s="21">
        <v>5</v>
      </c>
      <c r="P7" s="5">
        <f t="shared" si="1"/>
        <v>0.29056503968795061</v>
      </c>
      <c r="Q7" s="5">
        <f t="shared" si="2"/>
        <v>1.2141935220352664</v>
      </c>
      <c r="R7" s="5">
        <f t="shared" si="3"/>
        <v>1.2911077087657364E-2</v>
      </c>
      <c r="S7" s="5">
        <f t="shared" si="4"/>
        <v>1.1542094513562393</v>
      </c>
      <c r="T7" s="5">
        <f t="shared" si="5"/>
        <v>-0.30671934663620209</v>
      </c>
      <c r="U7" s="5">
        <f t="shared" si="6"/>
        <v>-1.0245394473347789</v>
      </c>
      <c r="V7" s="5">
        <f t="shared" si="7"/>
        <v>-0.50275317403913689</v>
      </c>
      <c r="W7" s="5">
        <f t="shared" si="8"/>
        <v>-0.87115087828231452</v>
      </c>
      <c r="X7" s="5">
        <f t="shared" si="9"/>
        <v>1.5757673504006324</v>
      </c>
      <c r="Y7" s="5">
        <f t="shared" si="10"/>
        <v>-0.96829579197328264</v>
      </c>
      <c r="Z7" s="6">
        <v>3</v>
      </c>
      <c r="AA7" s="6">
        <v>1</v>
      </c>
      <c r="AB7" s="6">
        <v>3</v>
      </c>
      <c r="AC7" s="6">
        <v>3</v>
      </c>
      <c r="AD7">
        <v>3</v>
      </c>
      <c r="AE7" s="6"/>
      <c r="AG7" s="5"/>
      <c r="AH7" s="5"/>
      <c r="AI7" s="5"/>
      <c r="AJ7" s="5"/>
      <c r="AK7" s="5"/>
      <c r="AL7" s="5"/>
      <c r="AM7" s="5"/>
      <c r="AN7" s="5"/>
      <c r="AO7" s="5"/>
      <c r="AP7" s="5"/>
      <c r="AR7">
        <v>6</v>
      </c>
      <c r="AS7" s="5">
        <f t="shared" si="17"/>
        <v>16.270421345740594</v>
      </c>
      <c r="AT7" s="5">
        <f t="shared" si="18"/>
        <v>8.2588680614625591</v>
      </c>
      <c r="AU7" s="5">
        <f t="shared" si="12"/>
        <v>10.8530760053268</v>
      </c>
      <c r="AV7" s="5">
        <f t="shared" si="13"/>
        <v>13.799136409201488</v>
      </c>
      <c r="AW7" s="5">
        <f t="shared" si="14"/>
        <v>8.2588680614625591</v>
      </c>
      <c r="AX7">
        <f t="shared" si="15"/>
        <v>2</v>
      </c>
      <c r="AY7" t="b">
        <f t="shared" si="0"/>
        <v>1</v>
      </c>
      <c r="BA7" t="s">
        <v>58</v>
      </c>
      <c r="BB7" s="29">
        <v>147.99882158503601</v>
      </c>
    </row>
    <row r="8" spans="1:75" x14ac:dyDescent="0.35">
      <c r="A8" s="3">
        <v>6</v>
      </c>
      <c r="B8" s="3" t="s">
        <v>22</v>
      </c>
      <c r="C8" s="3" t="s">
        <v>23</v>
      </c>
      <c r="D8">
        <v>0.67700000000000005</v>
      </c>
      <c r="E8">
        <v>0.69599999999999995</v>
      </c>
      <c r="F8">
        <v>0</v>
      </c>
      <c r="G8">
        <v>-6.181</v>
      </c>
      <c r="H8">
        <v>0.11899999999999999</v>
      </c>
      <c r="I8">
        <v>0.32100000000000001</v>
      </c>
      <c r="J8" s="7">
        <v>0</v>
      </c>
      <c r="K8">
        <v>0.42</v>
      </c>
      <c r="L8">
        <v>0.46400000000000002</v>
      </c>
      <c r="M8">
        <v>90.03</v>
      </c>
      <c r="O8" s="21">
        <v>6</v>
      </c>
      <c r="P8" s="5">
        <f t="shared" si="1"/>
        <v>4.6392737429168988E-2</v>
      </c>
      <c r="Q8" s="5">
        <f t="shared" si="2"/>
        <v>0.189457085381361</v>
      </c>
      <c r="R8" s="5">
        <f t="shared" si="3"/>
        <v>-1.5364181734312319</v>
      </c>
      <c r="S8" s="5">
        <f t="shared" si="4"/>
        <v>-0.14293514846858363</v>
      </c>
      <c r="T8" s="5">
        <f t="shared" si="5"/>
        <v>0.91974158458391386</v>
      </c>
      <c r="U8" s="5">
        <f t="shared" si="6"/>
        <v>0.45457538483312526</v>
      </c>
      <c r="V8" s="5">
        <f t="shared" si="7"/>
        <v>-0.50275317403913689</v>
      </c>
      <c r="W8" s="5">
        <f t="shared" si="8"/>
        <v>1.4133889282131225</v>
      </c>
      <c r="X8" s="5">
        <f t="shared" si="9"/>
        <v>-0.36516143569983212</v>
      </c>
      <c r="Y8" s="5">
        <f>STANDARDIZE(M8,M$23,M$24)</f>
        <v>-1.3848816200982299</v>
      </c>
      <c r="Z8" s="6">
        <v>2</v>
      </c>
      <c r="AA8" s="6">
        <v>2</v>
      </c>
      <c r="AB8" s="6">
        <v>2</v>
      </c>
      <c r="AC8" s="6">
        <v>2</v>
      </c>
      <c r="AD8">
        <v>2</v>
      </c>
      <c r="AE8" s="6"/>
      <c r="AR8">
        <v>7</v>
      </c>
      <c r="AS8" s="5">
        <f t="shared" si="17"/>
        <v>19.704181410486722</v>
      </c>
      <c r="AT8" s="5">
        <f t="shared" si="18"/>
        <v>22.142021224935878</v>
      </c>
      <c r="AU8" s="5">
        <f t="shared" si="12"/>
        <v>4.3241062082655075</v>
      </c>
      <c r="AV8" s="5">
        <f t="shared" si="13"/>
        <v>9.8390049792312677</v>
      </c>
      <c r="AW8" s="5">
        <f t="shared" si="14"/>
        <v>4.3241062082655075</v>
      </c>
      <c r="AX8">
        <f t="shared" si="15"/>
        <v>3</v>
      </c>
      <c r="AY8" t="b">
        <f t="shared" si="0"/>
        <v>1</v>
      </c>
      <c r="BA8" t="s">
        <v>63</v>
      </c>
      <c r="BB8" s="29" t="b">
        <v>0</v>
      </c>
      <c r="BC8">
        <v>15</v>
      </c>
    </row>
    <row r="9" spans="1:75" x14ac:dyDescent="0.35">
      <c r="A9" s="3">
        <v>7</v>
      </c>
      <c r="B9" s="3" t="s">
        <v>24</v>
      </c>
      <c r="C9" s="3" t="s">
        <v>25</v>
      </c>
      <c r="D9">
        <v>0.76400000000000001</v>
      </c>
      <c r="E9">
        <v>0.70499999999999996</v>
      </c>
      <c r="F9">
        <v>8</v>
      </c>
      <c r="G9">
        <v>-3.4630000000000001</v>
      </c>
      <c r="H9">
        <v>2.8400000000000002E-2</v>
      </c>
      <c r="I9">
        <v>0.25900000000000001</v>
      </c>
      <c r="J9" s="7">
        <v>8.92E-5</v>
      </c>
      <c r="K9">
        <v>0.12</v>
      </c>
      <c r="L9">
        <v>0.78100000000000003</v>
      </c>
      <c r="M9">
        <v>110.97</v>
      </c>
      <c r="O9" s="21">
        <v>7</v>
      </c>
      <c r="P9" s="5">
        <f t="shared" si="1"/>
        <v>0.89611234928973171</v>
      </c>
      <c r="Q9" s="5">
        <f t="shared" si="2"/>
        <v>0.26095032514791261</v>
      </c>
      <c r="R9" s="5">
        <f t="shared" si="3"/>
        <v>0.52935416059395379</v>
      </c>
      <c r="S9" s="5">
        <f t="shared" si="4"/>
        <v>1.3297628558438093</v>
      </c>
      <c r="T9" s="5">
        <f t="shared" si="5"/>
        <v>-0.96680103627419323</v>
      </c>
      <c r="U9" s="5">
        <f t="shared" si="6"/>
        <v>0.16080878460116815</v>
      </c>
      <c r="V9" s="5">
        <f t="shared" si="7"/>
        <v>1.2921470910915822</v>
      </c>
      <c r="W9" s="5">
        <f t="shared" si="8"/>
        <v>-0.53034885383064123</v>
      </c>
      <c r="X9" s="5">
        <f t="shared" si="9"/>
        <v>0.99908340951934149</v>
      </c>
      <c r="Y9" s="5">
        <f t="shared" si="10"/>
        <v>-0.71111107549821495</v>
      </c>
      <c r="Z9" s="6">
        <v>3</v>
      </c>
      <c r="AA9" s="6">
        <v>3</v>
      </c>
      <c r="AB9" s="6">
        <v>3</v>
      </c>
      <c r="AC9" s="6">
        <v>3</v>
      </c>
      <c r="AD9">
        <v>3</v>
      </c>
      <c r="AE9" s="6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  <c r="AR9">
        <v>8</v>
      </c>
      <c r="AS9" s="5">
        <f t="shared" si="17"/>
        <v>23.729354261025179</v>
      </c>
      <c r="AT9" s="5">
        <f t="shared" si="18"/>
        <v>15.610172499580218</v>
      </c>
      <c r="AU9" s="5">
        <f t="shared" si="12"/>
        <v>10.457451957770115</v>
      </c>
      <c r="AV9" s="5">
        <f t="shared" si="13"/>
        <v>14.551380846172645</v>
      </c>
      <c r="AW9" s="5">
        <f t="shared" si="14"/>
        <v>10.457451957770115</v>
      </c>
      <c r="AX9">
        <f t="shared" si="15"/>
        <v>3</v>
      </c>
      <c r="AY9" t="b">
        <f t="shared" si="0"/>
        <v>1</v>
      </c>
      <c r="AZ9" s="2"/>
      <c r="BA9" s="2"/>
      <c r="BB9" s="30"/>
    </row>
    <row r="10" spans="1:75" x14ac:dyDescent="0.35">
      <c r="A10" s="3">
        <v>8</v>
      </c>
      <c r="B10" s="3" t="s">
        <v>26</v>
      </c>
      <c r="C10" s="3" t="s">
        <v>27</v>
      </c>
      <c r="D10">
        <v>0.51400000000000001</v>
      </c>
      <c r="E10">
        <v>0.73</v>
      </c>
      <c r="F10">
        <v>1</v>
      </c>
      <c r="G10">
        <v>-5.9340000000000002</v>
      </c>
      <c r="H10">
        <v>5.9799999999999999E-2</v>
      </c>
      <c r="I10">
        <v>1.4599999999999999E-3</v>
      </c>
      <c r="J10" s="7">
        <v>9.5400000000000001E-5</v>
      </c>
      <c r="K10">
        <v>8.9700000000000002E-2</v>
      </c>
      <c r="L10">
        <v>0.33400000000000002</v>
      </c>
      <c r="M10">
        <v>171.005</v>
      </c>
      <c r="O10" s="21">
        <v>8</v>
      </c>
      <c r="P10" s="5">
        <f t="shared" si="1"/>
        <v>-1.5456106732980932</v>
      </c>
      <c r="Q10" s="5">
        <f t="shared" si="2"/>
        <v>0.45954265783277815</v>
      </c>
      <c r="R10" s="5">
        <f t="shared" si="3"/>
        <v>-1.2781966316780837</v>
      </c>
      <c r="S10" s="5">
        <f t="shared" si="4"/>
        <v>-9.1027691215781453E-3</v>
      </c>
      <c r="T10" s="5">
        <f t="shared" si="5"/>
        <v>-0.3129661765065932</v>
      </c>
      <c r="U10" s="5">
        <f t="shared" si="6"/>
        <v>-1.05945976739461</v>
      </c>
      <c r="V10" s="5">
        <f t="shared" si="7"/>
        <v>1.416904732838336</v>
      </c>
      <c r="W10" s="5">
        <f t="shared" si="8"/>
        <v>-0.72666636981706134</v>
      </c>
      <c r="X10" s="5">
        <f t="shared" si="9"/>
        <v>-0.92463093058466672</v>
      </c>
      <c r="Y10" s="5">
        <f t="shared" si="10"/>
        <v>1.2205897193949036</v>
      </c>
      <c r="Z10" s="6">
        <v>3</v>
      </c>
      <c r="AA10" s="6">
        <v>4</v>
      </c>
      <c r="AB10" s="6">
        <v>3</v>
      </c>
      <c r="AC10" s="6">
        <v>3</v>
      </c>
      <c r="AD10">
        <v>3</v>
      </c>
      <c r="AE10" s="6"/>
      <c r="AR10">
        <v>9</v>
      </c>
      <c r="AS10" s="5">
        <f t="shared" si="17"/>
        <v>4.7379071905781709</v>
      </c>
      <c r="AT10" s="5">
        <f t="shared" si="18"/>
        <v>16.02771020584526</v>
      </c>
      <c r="AU10" s="5">
        <f t="shared" si="12"/>
        <v>15.651619446624927</v>
      </c>
      <c r="AV10" s="5">
        <f t="shared" si="13"/>
        <v>8.8818240222183995</v>
      </c>
      <c r="AW10" s="5">
        <f t="shared" si="14"/>
        <v>4.7379071905781709</v>
      </c>
      <c r="AX10">
        <f t="shared" si="15"/>
        <v>1</v>
      </c>
      <c r="AY10" t="b">
        <f t="shared" si="0"/>
        <v>1</v>
      </c>
      <c r="BA10" s="26" t="s">
        <v>67</v>
      </c>
      <c r="BB10" s="26"/>
      <c r="BC10" s="26"/>
      <c r="BD10" s="26"/>
      <c r="BE10" s="26"/>
      <c r="BF10" s="26"/>
      <c r="BG10" s="26"/>
      <c r="BH10" s="26"/>
      <c r="BI10" s="26"/>
      <c r="BJ10" s="26"/>
      <c r="BK10" s="26"/>
    </row>
    <row r="11" spans="1:75" x14ac:dyDescent="0.35">
      <c r="A11" s="3">
        <v>9</v>
      </c>
      <c r="B11" s="3" t="s">
        <v>28</v>
      </c>
      <c r="C11" s="3" t="s">
        <v>29</v>
      </c>
      <c r="D11">
        <v>0.76100000000000001</v>
      </c>
      <c r="E11">
        <v>0.52500000000000002</v>
      </c>
      <c r="F11">
        <v>11</v>
      </c>
      <c r="G11">
        <v>-6.9</v>
      </c>
      <c r="H11">
        <v>9.4399999999999998E-2</v>
      </c>
      <c r="I11">
        <v>0.44</v>
      </c>
      <c r="J11" s="7">
        <v>6.7000000000000002E-6</v>
      </c>
      <c r="K11">
        <v>9.2100000000000001E-2</v>
      </c>
      <c r="L11">
        <v>0.53100000000000003</v>
      </c>
      <c r="M11">
        <v>80.87</v>
      </c>
      <c r="O11" s="21">
        <v>9</v>
      </c>
      <c r="P11" s="5">
        <f t="shared" si="1"/>
        <v>0.86681167301867779</v>
      </c>
      <c r="Q11" s="5">
        <f t="shared" si="2"/>
        <v>-1.1689144701831176</v>
      </c>
      <c r="R11" s="5">
        <f t="shared" si="3"/>
        <v>1.3040187858533985</v>
      </c>
      <c r="S11" s="5">
        <f t="shared" si="4"/>
        <v>-0.53251199361229629</v>
      </c>
      <c r="T11" s="5">
        <f t="shared" si="5"/>
        <v>0.40750153521184512</v>
      </c>
      <c r="U11" s="5">
        <f t="shared" si="6"/>
        <v>1.0184177304396236</v>
      </c>
      <c r="V11" s="5">
        <f t="shared" si="7"/>
        <v>-0.36793443215151561</v>
      </c>
      <c r="W11" s="5">
        <f t="shared" si="8"/>
        <v>-0.71111646756071123</v>
      </c>
      <c r="X11" s="5">
        <f t="shared" si="9"/>
        <v>-7.6819465259186565E-2</v>
      </c>
      <c r="Y11" s="5">
        <f t="shared" si="10"/>
        <v>-1.6796160130560205</v>
      </c>
      <c r="Z11" s="6">
        <v>1</v>
      </c>
      <c r="AA11" s="6">
        <v>1</v>
      </c>
      <c r="AB11" s="6">
        <v>1</v>
      </c>
      <c r="AC11" s="6">
        <v>1</v>
      </c>
      <c r="AD11">
        <v>1</v>
      </c>
      <c r="AE11" s="6"/>
      <c r="AG11" s="5"/>
      <c r="AH11" s="5"/>
      <c r="AI11" s="5"/>
      <c r="AJ11" s="5"/>
      <c r="AK11" s="5"/>
      <c r="AL11" s="5"/>
      <c r="AM11" s="5"/>
      <c r="AN11" s="5"/>
      <c r="AO11" s="5"/>
      <c r="AP11" s="5"/>
      <c r="AR11">
        <v>10</v>
      </c>
      <c r="AS11" s="5">
        <f t="shared" si="17"/>
        <v>19.356197012400663</v>
      </c>
      <c r="AT11" s="5">
        <f t="shared" si="18"/>
        <v>13.822866208648932</v>
      </c>
      <c r="AU11" s="5">
        <f t="shared" si="12"/>
        <v>3.9049946301454996</v>
      </c>
      <c r="AV11" s="5">
        <f t="shared" si="13"/>
        <v>7.9586013254717898</v>
      </c>
      <c r="AW11" s="5">
        <f t="shared" si="14"/>
        <v>3.9049946301454996</v>
      </c>
      <c r="AX11">
        <f t="shared" si="15"/>
        <v>3</v>
      </c>
      <c r="AY11" t="b">
        <f t="shared" si="0"/>
        <v>1</v>
      </c>
      <c r="AZ11" s="5"/>
      <c r="BA11" s="5"/>
      <c r="BB11" s="31" t="s">
        <v>3</v>
      </c>
      <c r="BC11" t="s">
        <v>4</v>
      </c>
      <c r="BD11" t="s">
        <v>5</v>
      </c>
      <c r="BE11" t="s">
        <v>6</v>
      </c>
      <c r="BF11" t="s">
        <v>7</v>
      </c>
      <c r="BG11" t="s">
        <v>8</v>
      </c>
      <c r="BH11" t="s">
        <v>9</v>
      </c>
      <c r="BI11" t="s">
        <v>10</v>
      </c>
      <c r="BJ11" t="s">
        <v>11</v>
      </c>
      <c r="BK11" t="s">
        <v>12</v>
      </c>
    </row>
    <row r="12" spans="1:75" x14ac:dyDescent="0.35">
      <c r="A12" s="3">
        <v>10</v>
      </c>
      <c r="B12" s="3" t="s">
        <v>30</v>
      </c>
      <c r="C12" s="3" t="s">
        <v>31</v>
      </c>
      <c r="D12">
        <v>0.71399999999999997</v>
      </c>
      <c r="E12">
        <v>0.8</v>
      </c>
      <c r="F12">
        <v>11</v>
      </c>
      <c r="G12">
        <v>-4.8079999999999998</v>
      </c>
      <c r="H12">
        <v>5.04E-2</v>
      </c>
      <c r="I12">
        <v>0.127</v>
      </c>
      <c r="J12" s="7">
        <v>0</v>
      </c>
      <c r="K12">
        <v>0.35899999999999999</v>
      </c>
      <c r="L12">
        <v>0.58899999999999997</v>
      </c>
      <c r="M12">
        <v>134.00200000000001</v>
      </c>
      <c r="O12" s="21">
        <v>10</v>
      </c>
      <c r="P12" s="5">
        <f t="shared" si="1"/>
        <v>0.40776774477216632</v>
      </c>
      <c r="Q12" s="5">
        <f t="shared" si="2"/>
        <v>1.0156011893504018</v>
      </c>
      <c r="R12" s="5">
        <f t="shared" si="3"/>
        <v>1.3040187858533985</v>
      </c>
      <c r="S12" s="5">
        <f t="shared" si="4"/>
        <v>0.6009994946222611</v>
      </c>
      <c r="T12" s="5">
        <f t="shared" si="5"/>
        <v>-0.50870017911218046</v>
      </c>
      <c r="U12" s="5">
        <f t="shared" si="6"/>
        <v>-0.4646297836346116</v>
      </c>
      <c r="V12" s="5">
        <f t="shared" si="7"/>
        <v>-0.50275317403913689</v>
      </c>
      <c r="W12" s="5">
        <f t="shared" si="8"/>
        <v>1.0181622458642239</v>
      </c>
      <c r="X12" s="5">
        <f t="shared" si="9"/>
        <v>0.17279000168943168</v>
      </c>
      <c r="Y12" s="5">
        <f t="shared" si="10"/>
        <v>2.9972171074256589E-2</v>
      </c>
      <c r="Z12" s="6">
        <v>3</v>
      </c>
      <c r="AA12" s="6">
        <v>2</v>
      </c>
      <c r="AB12" s="6">
        <v>2</v>
      </c>
      <c r="AC12" s="6">
        <v>3</v>
      </c>
      <c r="AD12">
        <v>3</v>
      </c>
      <c r="AE12" s="6"/>
      <c r="AG12" s="5"/>
      <c r="AH12" s="5"/>
      <c r="AI12" s="5"/>
      <c r="AJ12" s="5"/>
      <c r="AK12" s="5"/>
      <c r="AL12" s="5"/>
      <c r="AM12" s="5"/>
      <c r="AN12" s="5"/>
      <c r="AO12" s="5"/>
      <c r="AP12" s="5"/>
      <c r="AR12">
        <v>11</v>
      </c>
      <c r="AS12" s="5">
        <f t="shared" si="17"/>
        <v>10.887397800067303</v>
      </c>
      <c r="AT12" s="5">
        <f t="shared" si="18"/>
        <v>8.4675725672864974</v>
      </c>
      <c r="AU12" s="5">
        <f t="shared" si="12"/>
        <v>5.8897444715644838</v>
      </c>
      <c r="AV12" s="5">
        <f t="shared" si="13"/>
        <v>2.7411956264119794</v>
      </c>
      <c r="AW12" s="5">
        <f t="shared" si="14"/>
        <v>2.7411956264119794</v>
      </c>
      <c r="AX12">
        <f t="shared" si="15"/>
        <v>4</v>
      </c>
      <c r="AY12" t="b">
        <f t="shared" si="0"/>
        <v>1</v>
      </c>
      <c r="AZ12" s="5"/>
      <c r="BA12">
        <v>1</v>
      </c>
      <c r="BB12" s="31">
        <v>-9.766892090351309E-2</v>
      </c>
      <c r="BC12">
        <v>-0.84520896790678723</v>
      </c>
      <c r="BD12">
        <v>0.78757570234710195</v>
      </c>
      <c r="BE12">
        <v>-1.0024153579389785</v>
      </c>
      <c r="BF12">
        <v>-0.24737446286748685</v>
      </c>
      <c r="BG12">
        <v>0.60631531019487406</v>
      </c>
      <c r="BH12">
        <v>-0.39761467756707403</v>
      </c>
      <c r="BI12">
        <v>-0.75970991211180527</v>
      </c>
      <c r="BJ12">
        <v>8.9945480331485222E-2</v>
      </c>
      <c r="BK12">
        <v>-7.5308498549967753E-2</v>
      </c>
    </row>
    <row r="13" spans="1:75" x14ac:dyDescent="0.35">
      <c r="A13" s="3">
        <v>11</v>
      </c>
      <c r="B13" s="3" t="s">
        <v>32</v>
      </c>
      <c r="C13" s="3" t="s">
        <v>33</v>
      </c>
      <c r="D13">
        <v>0.77800000000000002</v>
      </c>
      <c r="E13">
        <v>0.69499999999999995</v>
      </c>
      <c r="F13">
        <v>4</v>
      </c>
      <c r="G13">
        <v>-6.8650000000000002</v>
      </c>
      <c r="H13">
        <v>9.1300000000000006E-2</v>
      </c>
      <c r="I13">
        <v>0.17499999999999999</v>
      </c>
      <c r="J13" s="7">
        <v>0</v>
      </c>
      <c r="K13">
        <v>0.15</v>
      </c>
      <c r="L13">
        <v>0.47199999999999998</v>
      </c>
      <c r="M13">
        <v>149.99600000000001</v>
      </c>
      <c r="O13" s="21">
        <v>11</v>
      </c>
      <c r="P13" s="5">
        <f t="shared" si="1"/>
        <v>1.0328488385546502</v>
      </c>
      <c r="Q13" s="5">
        <f t="shared" si="2"/>
        <v>0.18151339207396636</v>
      </c>
      <c r="R13" s="5">
        <f t="shared" si="3"/>
        <v>-0.50353200641863904</v>
      </c>
      <c r="S13" s="5">
        <f t="shared" si="4"/>
        <v>-0.51354789127567602</v>
      </c>
      <c r="T13" s="5">
        <f t="shared" si="5"/>
        <v>0.34295095988447077</v>
      </c>
      <c r="U13" s="5">
        <f t="shared" si="6"/>
        <v>-0.23719757700341904</v>
      </c>
      <c r="V13" s="5">
        <f t="shared" si="7"/>
        <v>-0.50275317403913689</v>
      </c>
      <c r="W13" s="5">
        <f t="shared" si="8"/>
        <v>-0.33597507562626483</v>
      </c>
      <c r="X13" s="5">
        <f t="shared" si="9"/>
        <v>-0.3307325437069194</v>
      </c>
      <c r="Y13" s="5">
        <f t="shared" si="10"/>
        <v>0.54459901397457366</v>
      </c>
      <c r="Z13" s="6">
        <v>4</v>
      </c>
      <c r="AA13" s="6">
        <v>3</v>
      </c>
      <c r="AB13" s="6">
        <v>4</v>
      </c>
      <c r="AC13" s="6">
        <v>4</v>
      </c>
      <c r="AD13">
        <v>4</v>
      </c>
      <c r="AE13" s="6"/>
      <c r="AG13" s="5"/>
      <c r="AH13" s="5"/>
      <c r="AI13" s="5"/>
      <c r="AJ13" s="5"/>
      <c r="AK13" s="5"/>
      <c r="AL13" s="5"/>
      <c r="AM13" s="5"/>
      <c r="AN13" s="5"/>
      <c r="AO13" s="5"/>
      <c r="AP13" s="5"/>
      <c r="AR13">
        <v>12</v>
      </c>
      <c r="AS13" s="5">
        <f t="shared" si="17"/>
        <v>3.4627685499689598</v>
      </c>
      <c r="AT13" s="5">
        <f t="shared" si="18"/>
        <v>18.254270500397844</v>
      </c>
      <c r="AU13" s="5">
        <f t="shared" si="12"/>
        <v>18.701444772477863</v>
      </c>
      <c r="AV13" s="5">
        <f t="shared" si="13"/>
        <v>13.493178107328998</v>
      </c>
      <c r="AW13" s="5">
        <f t="shared" si="14"/>
        <v>3.4627685499689598</v>
      </c>
      <c r="AX13">
        <f t="shared" si="15"/>
        <v>1</v>
      </c>
      <c r="AY13" t="b">
        <f t="shared" si="0"/>
        <v>1</v>
      </c>
      <c r="AZ13" s="5"/>
      <c r="BA13">
        <v>2</v>
      </c>
      <c r="BB13" s="31">
        <v>-0.64217315494059812</v>
      </c>
      <c r="BC13">
        <v>-0.15410765016345573</v>
      </c>
      <c r="BD13">
        <v>-0.18075507922720374</v>
      </c>
      <c r="BE13">
        <v>-0.17165221772117989</v>
      </c>
      <c r="BF13">
        <v>1.0519661501738586</v>
      </c>
      <c r="BG13">
        <v>0.50314163729082773</v>
      </c>
      <c r="BH13">
        <v>-0.47407903863766521</v>
      </c>
      <c r="BI13">
        <v>1.2092964610985275</v>
      </c>
      <c r="BJ13">
        <v>-0.27370969134365741</v>
      </c>
      <c r="BK13">
        <v>0.41385084740426975</v>
      </c>
    </row>
    <row r="14" spans="1:75" x14ac:dyDescent="0.35">
      <c r="A14" s="3">
        <v>12</v>
      </c>
      <c r="B14" s="3" t="s">
        <v>34</v>
      </c>
      <c r="C14" s="3" t="s">
        <v>35</v>
      </c>
      <c r="D14">
        <v>0.73099999999999998</v>
      </c>
      <c r="E14">
        <v>0.57299999999999995</v>
      </c>
      <c r="F14">
        <v>4</v>
      </c>
      <c r="G14">
        <v>-10.058999999999999</v>
      </c>
      <c r="H14">
        <v>5.4399999999999997E-2</v>
      </c>
      <c r="I14">
        <v>0.40100000000000002</v>
      </c>
      <c r="J14" s="7">
        <v>5.2200000000000002E-5</v>
      </c>
      <c r="K14">
        <v>0.113</v>
      </c>
      <c r="L14">
        <v>0.14499999999999999</v>
      </c>
      <c r="M14">
        <v>109.928</v>
      </c>
      <c r="O14" s="21">
        <v>12</v>
      </c>
      <c r="P14" s="5">
        <f t="shared" si="1"/>
        <v>0.57380491030813852</v>
      </c>
      <c r="Q14" s="5">
        <f t="shared" si="2"/>
        <v>-0.78761719142817666</v>
      </c>
      <c r="R14" s="5">
        <f t="shared" si="3"/>
        <v>-0.50353200641863904</v>
      </c>
      <c r="S14" s="5">
        <f t="shared" si="4"/>
        <v>-2.2441576873661035</v>
      </c>
      <c r="T14" s="5">
        <f t="shared" si="5"/>
        <v>-0.42540911417363275</v>
      </c>
      <c r="U14" s="5">
        <f t="shared" si="6"/>
        <v>0.83362906255177971</v>
      </c>
      <c r="V14" s="5">
        <f t="shared" si="7"/>
        <v>0.54762568066740502</v>
      </c>
      <c r="W14" s="5">
        <f t="shared" si="8"/>
        <v>-0.57570273541166228</v>
      </c>
      <c r="X14" s="5">
        <f t="shared" si="9"/>
        <v>-1.738013503917234</v>
      </c>
      <c r="Y14" s="5">
        <f t="shared" si="10"/>
        <v>-0.74463872150935229</v>
      </c>
      <c r="Z14" s="6">
        <v>1</v>
      </c>
      <c r="AA14" s="6">
        <v>4</v>
      </c>
      <c r="AB14" s="6">
        <v>4</v>
      </c>
      <c r="AC14" s="6">
        <v>1</v>
      </c>
      <c r="AD14">
        <v>1</v>
      </c>
      <c r="AE14" s="6"/>
      <c r="AG14" s="5"/>
      <c r="AH14" s="5"/>
      <c r="AI14" s="5"/>
      <c r="AJ14" s="5"/>
      <c r="AK14" s="5"/>
      <c r="AL14" s="5"/>
      <c r="AM14" s="5"/>
      <c r="AN14" s="5"/>
      <c r="AO14" s="5"/>
      <c r="AP14" s="5"/>
      <c r="AR14">
        <v>13</v>
      </c>
      <c r="AS14" s="5">
        <f t="shared" si="17"/>
        <v>17.975250573596433</v>
      </c>
      <c r="AT14" s="5">
        <f t="shared" si="18"/>
        <v>17.180297907237367</v>
      </c>
      <c r="AU14" s="5">
        <f t="shared" si="12"/>
        <v>9.4802091303495626</v>
      </c>
      <c r="AV14" s="5">
        <f t="shared" si="13"/>
        <v>2.274057758172654</v>
      </c>
      <c r="AW14" s="5">
        <f t="shared" si="14"/>
        <v>2.274057758172654</v>
      </c>
      <c r="AX14">
        <f t="shared" si="15"/>
        <v>4</v>
      </c>
      <c r="AY14" t="b">
        <f t="shared" si="0"/>
        <v>1</v>
      </c>
      <c r="AZ14" s="5"/>
      <c r="BA14">
        <v>3</v>
      </c>
      <c r="BB14" s="31">
        <v>0.19655870331831984</v>
      </c>
      <c r="BC14">
        <v>0.79516370007020065</v>
      </c>
      <c r="BD14">
        <v>-0.34214354282292142</v>
      </c>
      <c r="BE14">
        <v>0.82315040770838355</v>
      </c>
      <c r="BF14">
        <v>-0.65003470492977877</v>
      </c>
      <c r="BG14">
        <v>-0.5630119811437454</v>
      </c>
      <c r="BH14">
        <v>0.55592608828362033</v>
      </c>
      <c r="BI14">
        <v>7.3991618236465787E-2</v>
      </c>
      <c r="BJ14">
        <v>0.19699781637194874</v>
      </c>
      <c r="BK14">
        <v>-0.18763978759088107</v>
      </c>
    </row>
    <row r="15" spans="1:75" x14ac:dyDescent="0.35">
      <c r="A15" s="3">
        <v>13</v>
      </c>
      <c r="B15" s="3" t="s">
        <v>15</v>
      </c>
      <c r="C15" s="3" t="s">
        <v>36</v>
      </c>
      <c r="D15">
        <v>0.74099999999999999</v>
      </c>
      <c r="E15">
        <v>0.69099999999999995</v>
      </c>
      <c r="F15">
        <v>10</v>
      </c>
      <c r="G15">
        <v>-7.3949999999999996</v>
      </c>
      <c r="H15">
        <v>6.7199999999999996E-2</v>
      </c>
      <c r="I15">
        <v>2.2100000000000002E-2</v>
      </c>
      <c r="J15" s="7">
        <v>0</v>
      </c>
      <c r="K15">
        <v>4.7600000000000003E-2</v>
      </c>
      <c r="L15">
        <v>0.89200000000000002</v>
      </c>
      <c r="M15">
        <v>150.08699999999999</v>
      </c>
      <c r="O15" s="21">
        <v>13</v>
      </c>
      <c r="P15" s="5">
        <f t="shared" si="1"/>
        <v>0.67147383121165161</v>
      </c>
      <c r="Q15" s="5">
        <f t="shared" si="2"/>
        <v>0.14973861884438788</v>
      </c>
      <c r="R15" s="5">
        <f t="shared" si="3"/>
        <v>1.0457972441002501</v>
      </c>
      <c r="S15" s="5">
        <f t="shared" si="4"/>
        <v>-0.80071858380163896</v>
      </c>
      <c r="T15" s="5">
        <f t="shared" si="5"/>
        <v>-0.15887770637027984</v>
      </c>
      <c r="U15" s="5">
        <f t="shared" si="6"/>
        <v>-0.9616639185431971</v>
      </c>
      <c r="V15" s="5">
        <f t="shared" si="7"/>
        <v>-0.50275317403913689</v>
      </c>
      <c r="W15" s="5">
        <f t="shared" si="8"/>
        <v>-0.99943757189720284</v>
      </c>
      <c r="X15" s="5">
        <f t="shared" si="9"/>
        <v>1.4767842859210079</v>
      </c>
      <c r="Y15" s="5">
        <f t="shared" si="10"/>
        <v>0.54752705215788733</v>
      </c>
      <c r="Z15" s="6">
        <v>4</v>
      </c>
      <c r="AA15" s="6">
        <v>1</v>
      </c>
      <c r="AB15" s="6">
        <v>1</v>
      </c>
      <c r="AC15" s="6">
        <v>4</v>
      </c>
      <c r="AD15">
        <v>4</v>
      </c>
      <c r="AE15" s="6"/>
      <c r="AG15" s="5"/>
      <c r="AH15" s="5"/>
      <c r="AI15" s="5"/>
      <c r="AJ15" s="5"/>
      <c r="AK15" s="5"/>
      <c r="AL15" s="5"/>
      <c r="AM15" s="5"/>
      <c r="AN15" s="5"/>
      <c r="AO15" s="5"/>
      <c r="AP15" s="5"/>
      <c r="AR15">
        <v>14</v>
      </c>
      <c r="AS15" s="5">
        <f t="shared" si="17"/>
        <v>28.416301489976142</v>
      </c>
      <c r="AT15" s="5">
        <f t="shared" si="18"/>
        <v>24.335217814881769</v>
      </c>
      <c r="AU15" s="5">
        <f t="shared" si="12"/>
        <v>5.4811929822926313</v>
      </c>
      <c r="AV15" s="5">
        <f t="shared" si="13"/>
        <v>14.381834284955481</v>
      </c>
      <c r="AW15" s="5">
        <f t="shared" si="14"/>
        <v>5.4811929822926313</v>
      </c>
      <c r="AX15">
        <f t="shared" si="15"/>
        <v>3</v>
      </c>
      <c r="AY15" t="b">
        <f t="shared" si="0"/>
        <v>1</v>
      </c>
      <c r="AZ15" s="5"/>
      <c r="BA15">
        <v>4</v>
      </c>
      <c r="BB15" s="31">
        <v>0.34672466920747091</v>
      </c>
      <c r="BC15">
        <v>-0.59101078207015967</v>
      </c>
      <c r="BD15">
        <v>7.7466462525944413E-2</v>
      </c>
      <c r="BE15">
        <v>-0.4722332397566103</v>
      </c>
      <c r="BF15">
        <v>0.49547772255318628</v>
      </c>
      <c r="BG15">
        <v>1.6567014801791458E-2</v>
      </c>
      <c r="BH15">
        <v>-0.24015846036250141</v>
      </c>
      <c r="BI15">
        <v>-0.59756978545965467</v>
      </c>
      <c r="BJ15">
        <v>-0.21023142173172429</v>
      </c>
      <c r="BK15">
        <v>3.6737226327463207E-2</v>
      </c>
    </row>
    <row r="16" spans="1:75" x14ac:dyDescent="0.35">
      <c r="A16" s="3">
        <v>14</v>
      </c>
      <c r="B16" s="3" t="s">
        <v>37</v>
      </c>
      <c r="C16" s="3" t="s">
        <v>38</v>
      </c>
      <c r="D16">
        <v>0.80700000000000005</v>
      </c>
      <c r="E16">
        <v>0.89300000000000002</v>
      </c>
      <c r="F16">
        <v>11</v>
      </c>
      <c r="G16">
        <v>-3.7450000000000001</v>
      </c>
      <c r="H16">
        <v>3.4700000000000002E-2</v>
      </c>
      <c r="I16">
        <v>4.5100000000000001E-2</v>
      </c>
      <c r="J16" s="7">
        <v>2.7900000000000001E-5</v>
      </c>
      <c r="K16">
        <v>0.36599999999999999</v>
      </c>
      <c r="L16">
        <v>0.53700000000000003</v>
      </c>
      <c r="M16">
        <v>126.011</v>
      </c>
      <c r="O16" s="21">
        <v>14</v>
      </c>
      <c r="P16" s="5">
        <f t="shared" si="1"/>
        <v>1.3160887091748381</v>
      </c>
      <c r="Q16" s="5">
        <f t="shared" si="2"/>
        <v>1.7543646669381008</v>
      </c>
      <c r="R16" s="5">
        <f t="shared" si="3"/>
        <v>1.3040187858533985</v>
      </c>
      <c r="S16" s="5">
        <f>STANDARDIZE(G16,G$23,G$24)</f>
        <v>1.1769663741601835</v>
      </c>
      <c r="T16" s="5">
        <f t="shared" si="5"/>
        <v>-0.83561760899598048</v>
      </c>
      <c r="U16" s="5">
        <f t="shared" si="6"/>
        <v>-0.85268598619908398</v>
      </c>
      <c r="V16" s="5">
        <f t="shared" si="7"/>
        <v>5.8656213821256152E-2</v>
      </c>
      <c r="W16" s="5">
        <f t="shared" si="8"/>
        <v>1.0635161274452452</v>
      </c>
      <c r="X16" s="5">
        <f t="shared" si="9"/>
        <v>-5.099779626450187E-2</v>
      </c>
      <c r="Y16" s="5">
        <f t="shared" si="10"/>
        <v>-0.22714819291326632</v>
      </c>
      <c r="Z16" s="6">
        <v>3</v>
      </c>
      <c r="AA16" s="6">
        <v>2</v>
      </c>
      <c r="AB16" s="6">
        <v>3</v>
      </c>
      <c r="AC16" s="6">
        <v>3</v>
      </c>
      <c r="AD16">
        <v>3</v>
      </c>
      <c r="AE16" s="6"/>
      <c r="AG16" s="5"/>
      <c r="AH16" s="5"/>
      <c r="AI16" s="5"/>
      <c r="AJ16" s="5"/>
      <c r="AK16" s="5"/>
      <c r="AL16" s="5"/>
      <c r="AM16" s="5"/>
      <c r="AN16" s="5"/>
      <c r="AO16" s="5"/>
      <c r="AP16" s="5"/>
      <c r="AR16">
        <v>15</v>
      </c>
      <c r="AS16" s="5">
        <f t="shared" si="17"/>
        <v>31.135066703134676</v>
      </c>
      <c r="AT16" s="5">
        <f t="shared" si="18"/>
        <v>18.628683542414255</v>
      </c>
      <c r="AU16" s="5">
        <f t="shared" si="12"/>
        <v>7.4024718209359612</v>
      </c>
      <c r="AV16" s="5">
        <f t="shared" si="13"/>
        <v>16.352845388270392</v>
      </c>
      <c r="AW16" s="5">
        <f t="shared" si="14"/>
        <v>7.4024718209359612</v>
      </c>
      <c r="AX16">
        <f t="shared" si="15"/>
        <v>3</v>
      </c>
      <c r="AY16" t="b">
        <f t="shared" si="0"/>
        <v>1</v>
      </c>
      <c r="AZ16" s="5"/>
      <c r="BA16" s="5" t="s">
        <v>58</v>
      </c>
      <c r="BB16" s="31">
        <v>129.84597808556862</v>
      </c>
    </row>
    <row r="17" spans="1:102" x14ac:dyDescent="0.35">
      <c r="A17" s="3">
        <v>15</v>
      </c>
      <c r="B17" s="3" t="s">
        <v>26</v>
      </c>
      <c r="C17" s="3" t="s">
        <v>39</v>
      </c>
      <c r="D17">
        <v>0.68</v>
      </c>
      <c r="E17">
        <v>0.82599999999999996</v>
      </c>
      <c r="F17">
        <v>0</v>
      </c>
      <c r="G17">
        <v>-5.4870000000000001</v>
      </c>
      <c r="H17">
        <v>3.09E-2</v>
      </c>
      <c r="I17">
        <v>2.12E-2</v>
      </c>
      <c r="J17" s="7">
        <v>1.24E-5</v>
      </c>
      <c r="K17">
        <v>0.54300000000000004</v>
      </c>
      <c r="L17">
        <v>0.64400000000000002</v>
      </c>
      <c r="M17">
        <v>118.051</v>
      </c>
      <c r="O17" s="21">
        <v>15</v>
      </c>
      <c r="P17" s="5">
        <f t="shared" si="1"/>
        <v>7.5693413700222908E-2</v>
      </c>
      <c r="Q17" s="5">
        <f t="shared" si="2"/>
        <v>1.2221372153426611</v>
      </c>
      <c r="R17" s="5">
        <f t="shared" si="3"/>
        <v>-1.5364181734312319</v>
      </c>
      <c r="S17" s="5">
        <f t="shared" si="4"/>
        <v>0.23309590929182866</v>
      </c>
      <c r="T17" s="5">
        <f t="shared" si="5"/>
        <v>-0.91474412068760091</v>
      </c>
      <c r="U17" s="5">
        <f t="shared" si="6"/>
        <v>-0.96592827241753199</v>
      </c>
      <c r="V17" s="5">
        <f t="shared" si="7"/>
        <v>-0.2532378905456289</v>
      </c>
      <c r="W17" s="5">
        <f t="shared" si="8"/>
        <v>2.2103214188510663</v>
      </c>
      <c r="X17" s="5">
        <f t="shared" si="9"/>
        <v>0.40948863414070807</v>
      </c>
      <c r="Y17" s="5">
        <f t="shared" si="10"/>
        <v>-0.48327109334383533</v>
      </c>
      <c r="Z17" s="6">
        <v>3</v>
      </c>
      <c r="AA17" s="6">
        <v>3</v>
      </c>
      <c r="AB17" s="6">
        <v>3</v>
      </c>
      <c r="AC17" s="6">
        <v>3</v>
      </c>
      <c r="AD17">
        <v>3</v>
      </c>
      <c r="AE17" s="6"/>
      <c r="AG17" s="5"/>
      <c r="AH17" s="5"/>
      <c r="AI17" s="5"/>
      <c r="AJ17" s="5"/>
      <c r="AK17" s="5"/>
      <c r="AL17" s="5"/>
      <c r="AM17" s="5"/>
      <c r="AN17" s="5"/>
      <c r="AO17" s="5"/>
      <c r="AP17" s="5"/>
      <c r="AR17">
        <v>16</v>
      </c>
      <c r="AS17" s="5">
        <f t="shared" si="17"/>
        <v>14.35207267229816</v>
      </c>
      <c r="AT17" s="5">
        <f t="shared" si="18"/>
        <v>15.613291405211173</v>
      </c>
      <c r="AU17" s="5">
        <f t="shared" si="12"/>
        <v>10.91535978090609</v>
      </c>
      <c r="AV17" s="5">
        <f t="shared" si="13"/>
        <v>3.968773371174231</v>
      </c>
      <c r="AW17" s="5">
        <f t="shared" si="14"/>
        <v>3.968773371174231</v>
      </c>
      <c r="AX17">
        <f t="shared" si="15"/>
        <v>4</v>
      </c>
      <c r="AY17" t="b">
        <f t="shared" si="0"/>
        <v>1</v>
      </c>
      <c r="AZ17" s="5"/>
      <c r="BA17" s="5" t="s">
        <v>63</v>
      </c>
      <c r="BB17" s="31" t="s">
        <v>64</v>
      </c>
      <c r="BC17">
        <v>16</v>
      </c>
    </row>
    <row r="18" spans="1:102" x14ac:dyDescent="0.35">
      <c r="A18" s="3">
        <v>16</v>
      </c>
      <c r="B18" s="3" t="s">
        <v>40</v>
      </c>
      <c r="C18" s="3" t="s">
        <v>41</v>
      </c>
      <c r="D18">
        <v>0.75900000000000001</v>
      </c>
      <c r="E18">
        <v>0.45900000000000002</v>
      </c>
      <c r="F18">
        <v>8</v>
      </c>
      <c r="G18">
        <v>-5.1870000000000003</v>
      </c>
      <c r="H18">
        <v>9.4799999999999995E-2</v>
      </c>
      <c r="I18">
        <v>3.2299999999999998E-3</v>
      </c>
      <c r="J18" s="7">
        <v>0</v>
      </c>
      <c r="K18">
        <v>9.06E-2</v>
      </c>
      <c r="L18">
        <v>0.69499999999999995</v>
      </c>
      <c r="M18">
        <v>109.997</v>
      </c>
      <c r="O18" s="21">
        <v>16</v>
      </c>
      <c r="P18" s="5">
        <f t="shared" si="1"/>
        <v>0.84727788883797517</v>
      </c>
      <c r="Q18" s="5">
        <f t="shared" si="2"/>
        <v>-1.6931982284711622</v>
      </c>
      <c r="R18" s="5">
        <f t="shared" si="3"/>
        <v>0.52935416059395379</v>
      </c>
      <c r="S18" s="5">
        <f t="shared" si="4"/>
        <v>0.39564535789143046</v>
      </c>
      <c r="T18" s="5">
        <f t="shared" si="5"/>
        <v>0.41583064170569983</v>
      </c>
      <c r="U18" s="5">
        <f t="shared" si="6"/>
        <v>-1.0510732047750846</v>
      </c>
      <c r="V18" s="5">
        <f t="shared" si="7"/>
        <v>-0.50275317403913689</v>
      </c>
      <c r="W18" s="5">
        <f t="shared" si="8"/>
        <v>-0.72083515647092999</v>
      </c>
      <c r="X18" s="5">
        <f t="shared" si="9"/>
        <v>0.6289728205955275</v>
      </c>
      <c r="Y18" s="5">
        <f t="shared" si="10"/>
        <v>-0.742418560689037</v>
      </c>
      <c r="Z18" s="6">
        <v>4</v>
      </c>
      <c r="AA18" s="6">
        <v>4</v>
      </c>
      <c r="AB18" s="6">
        <v>4</v>
      </c>
      <c r="AC18" s="6">
        <v>4</v>
      </c>
      <c r="AD18">
        <v>4</v>
      </c>
      <c r="AE18" s="6"/>
      <c r="AG18" s="5"/>
      <c r="AH18" s="5"/>
      <c r="AI18" s="5"/>
      <c r="AJ18" s="5"/>
      <c r="AK18" s="5"/>
      <c r="AL18" s="5"/>
      <c r="AM18" s="5"/>
      <c r="AN18" s="5"/>
      <c r="AO18" s="5"/>
      <c r="AP18" s="5"/>
      <c r="AR18">
        <v>17</v>
      </c>
      <c r="AS18" s="5">
        <f t="shared" si="17"/>
        <v>11.231262557616127</v>
      </c>
      <c r="AT18" s="5">
        <f t="shared" si="18"/>
        <v>10.903061478412837</v>
      </c>
      <c r="AU18" s="5">
        <f t="shared" si="12"/>
        <v>8.9382352348395386</v>
      </c>
      <c r="AV18" s="5">
        <f t="shared" si="13"/>
        <v>3.0938912320104683</v>
      </c>
      <c r="AW18" s="5">
        <f t="shared" si="14"/>
        <v>3.0938912320104683</v>
      </c>
      <c r="AX18">
        <f t="shared" si="15"/>
        <v>4</v>
      </c>
      <c r="AY18" t="b">
        <f t="shared" si="0"/>
        <v>1</v>
      </c>
      <c r="AZ18" s="5"/>
      <c r="BA18" s="5"/>
      <c r="BB18" s="31"/>
    </row>
    <row r="19" spans="1:102" x14ac:dyDescent="0.35">
      <c r="A19" s="3">
        <v>17</v>
      </c>
      <c r="B19" s="3" t="s">
        <v>42</v>
      </c>
      <c r="C19" s="3" t="s">
        <v>43</v>
      </c>
      <c r="D19">
        <v>0.58599999999999997</v>
      </c>
      <c r="E19">
        <v>0.61599999999999999</v>
      </c>
      <c r="F19">
        <v>5</v>
      </c>
      <c r="G19">
        <v>-7.9640000000000004</v>
      </c>
      <c r="H19">
        <v>3.2399999999999998E-2</v>
      </c>
      <c r="I19">
        <v>0.182</v>
      </c>
      <c r="J19" s="7">
        <v>0</v>
      </c>
      <c r="K19">
        <v>9.2700000000000005E-2</v>
      </c>
      <c r="L19">
        <v>0.71899999999999997</v>
      </c>
      <c r="M19">
        <v>148.08799999999999</v>
      </c>
      <c r="O19" s="21">
        <v>17</v>
      </c>
      <c r="P19" s="5">
        <f t="shared" si="1"/>
        <v>-0.84239444279280007</v>
      </c>
      <c r="Q19" s="5">
        <f t="shared" si="2"/>
        <v>-0.44603837921020789</v>
      </c>
      <c r="R19" s="5">
        <f t="shared" si="3"/>
        <v>-0.24531046466549083</v>
      </c>
      <c r="S19" s="5">
        <f t="shared" si="4"/>
        <v>-1.1090207046455509</v>
      </c>
      <c r="T19" s="5">
        <f t="shared" si="5"/>
        <v>-0.88350997133564557</v>
      </c>
      <c r="U19" s="5">
        <f t="shared" si="6"/>
        <v>-0.20403038020303674</v>
      </c>
      <c r="V19" s="5">
        <f t="shared" si="7"/>
        <v>-0.50275317403913689</v>
      </c>
      <c r="W19" s="5">
        <f t="shared" si="8"/>
        <v>-0.7072289919966237</v>
      </c>
      <c r="X19" s="5">
        <f t="shared" si="9"/>
        <v>0.73225949657426626</v>
      </c>
      <c r="Y19" s="5">
        <f t="shared" si="10"/>
        <v>0.48320674085629106</v>
      </c>
      <c r="Z19" s="6">
        <v>4</v>
      </c>
      <c r="AA19" s="6">
        <v>1</v>
      </c>
      <c r="AB19" s="6">
        <v>1</v>
      </c>
      <c r="AC19" s="6">
        <v>1</v>
      </c>
      <c r="AD19">
        <v>4</v>
      </c>
      <c r="AE19" s="6"/>
      <c r="AG19" s="5"/>
      <c r="AH19" s="5"/>
      <c r="AI19" s="5"/>
      <c r="AJ19" s="5"/>
      <c r="AK19" s="5"/>
      <c r="AL19" s="5"/>
      <c r="AM19" s="5"/>
      <c r="AN19" s="5"/>
      <c r="AO19" s="5"/>
      <c r="AP19" s="5"/>
      <c r="AR19">
        <v>18</v>
      </c>
      <c r="AS19" s="5">
        <f>SUMXMY2(P20:Y20,$AG$3:$AP$3)</f>
        <v>18.602982001559219</v>
      </c>
      <c r="AT19" s="5">
        <f t="shared" si="18"/>
        <v>6.7606739033105345</v>
      </c>
      <c r="AU19" s="5">
        <f t="shared" si="12"/>
        <v>25.461597957806056</v>
      </c>
      <c r="AV19" s="5">
        <f t="shared" si="13"/>
        <v>24.672041767294886</v>
      </c>
      <c r="AW19" s="5">
        <f t="shared" si="14"/>
        <v>6.7606739033105345</v>
      </c>
      <c r="AX19">
        <f t="shared" si="15"/>
        <v>2</v>
      </c>
      <c r="AY19" t="b">
        <f t="shared" si="0"/>
        <v>1</v>
      </c>
      <c r="AZ19" s="5"/>
      <c r="BA19" s="26" t="s">
        <v>68</v>
      </c>
      <c r="BB19" s="26"/>
      <c r="BC19" s="26"/>
      <c r="BD19" s="26"/>
      <c r="BE19" s="26"/>
      <c r="BF19" s="26"/>
      <c r="BG19" s="26"/>
      <c r="BH19" s="26"/>
      <c r="BI19" s="26"/>
      <c r="BJ19" s="26"/>
      <c r="BK19" s="26"/>
    </row>
    <row r="20" spans="1:102" x14ac:dyDescent="0.35">
      <c r="A20" s="3">
        <v>18</v>
      </c>
      <c r="B20" s="3" t="s">
        <v>13</v>
      </c>
      <c r="C20" s="3" t="s">
        <v>44</v>
      </c>
      <c r="D20">
        <v>0.442</v>
      </c>
      <c r="E20">
        <v>0.61199999999999999</v>
      </c>
      <c r="F20">
        <v>2</v>
      </c>
      <c r="G20">
        <v>-7.2220000000000004</v>
      </c>
      <c r="H20">
        <v>0.112</v>
      </c>
      <c r="I20">
        <v>0.58399999999999996</v>
      </c>
      <c r="J20" s="7">
        <v>5.6999999999999996E-6</v>
      </c>
      <c r="K20">
        <v>0.37</v>
      </c>
      <c r="L20">
        <v>0.17799999999999999</v>
      </c>
      <c r="M20">
        <v>180.917</v>
      </c>
      <c r="O20" s="21">
        <v>18</v>
      </c>
      <c r="P20" s="5">
        <f t="shared" si="1"/>
        <v>-2.248826903803387</v>
      </c>
      <c r="Q20" s="5">
        <f t="shared" si="2"/>
        <v>-0.47781315243978639</v>
      </c>
      <c r="R20" s="5">
        <f t="shared" si="3"/>
        <v>-1.0199750899249354</v>
      </c>
      <c r="S20" s="5">
        <f t="shared" si="4"/>
        <v>-0.70698173510920226</v>
      </c>
      <c r="T20" s="5">
        <f t="shared" si="5"/>
        <v>0.77398222094145541</v>
      </c>
      <c r="U20" s="5">
        <f t="shared" si="6"/>
        <v>1.7007143503332012</v>
      </c>
      <c r="V20" s="5">
        <f t="shared" si="7"/>
        <v>-0.38805663243325017</v>
      </c>
      <c r="W20" s="5">
        <f t="shared" si="8"/>
        <v>1.0894326312058287</v>
      </c>
      <c r="X20" s="5">
        <f t="shared" si="9"/>
        <v>-1.5959943244464683</v>
      </c>
      <c r="Y20" s="5">
        <f t="shared" si="10"/>
        <v>1.5395206476697532</v>
      </c>
      <c r="Z20" s="6">
        <v>2</v>
      </c>
      <c r="AA20" s="6">
        <v>2</v>
      </c>
      <c r="AB20" s="6">
        <v>2</v>
      </c>
      <c r="AC20" s="6">
        <v>2</v>
      </c>
      <c r="AD20">
        <v>2</v>
      </c>
      <c r="AE20" s="6"/>
      <c r="AG20" s="5"/>
      <c r="AH20" s="5"/>
      <c r="AI20" s="5"/>
      <c r="AJ20" s="5"/>
      <c r="AK20" s="5"/>
      <c r="AL20" s="5"/>
      <c r="AM20" s="5"/>
      <c r="AN20" s="5"/>
      <c r="AO20" s="5"/>
      <c r="AP20" s="5"/>
      <c r="AR20">
        <v>19</v>
      </c>
      <c r="AS20" s="5">
        <f t="shared" si="17"/>
        <v>26.472700915936553</v>
      </c>
      <c r="AT20" s="5">
        <f t="shared" si="18"/>
        <v>30.506344526839396</v>
      </c>
      <c r="AU20" s="5">
        <f t="shared" si="12"/>
        <v>13.346574218542697</v>
      </c>
      <c r="AV20" s="5">
        <f t="shared" si="13"/>
        <v>24.307797649441103</v>
      </c>
      <c r="AW20" s="5">
        <f t="shared" si="14"/>
        <v>13.346574218542697</v>
      </c>
      <c r="AX20">
        <f t="shared" si="15"/>
        <v>3</v>
      </c>
      <c r="AY20" t="b">
        <f t="shared" si="0"/>
        <v>1</v>
      </c>
      <c r="AZ20" s="5"/>
      <c r="BA20" s="5"/>
      <c r="BB20" s="31" t="s">
        <v>3</v>
      </c>
      <c r="BC20" t="s">
        <v>4</v>
      </c>
      <c r="BD20" t="s">
        <v>5</v>
      </c>
      <c r="BE20" t="s">
        <v>6</v>
      </c>
      <c r="BF20" t="s">
        <v>7</v>
      </c>
      <c r="BG20" t="s">
        <v>8</v>
      </c>
      <c r="BH20" t="s">
        <v>9</v>
      </c>
      <c r="BI20" t="s">
        <v>10</v>
      </c>
      <c r="BJ20" t="s">
        <v>11</v>
      </c>
      <c r="BK20" t="s">
        <v>12</v>
      </c>
    </row>
    <row r="21" spans="1:102" x14ac:dyDescent="0.35">
      <c r="A21" s="3">
        <v>19</v>
      </c>
      <c r="B21" s="3" t="s">
        <v>45</v>
      </c>
      <c r="C21" s="3" t="s">
        <v>46</v>
      </c>
      <c r="D21">
        <v>0.78</v>
      </c>
      <c r="E21">
        <v>0.71899999999999997</v>
      </c>
      <c r="F21">
        <v>3</v>
      </c>
      <c r="G21">
        <v>-3.613</v>
      </c>
      <c r="H21">
        <v>5.0599999999999999E-2</v>
      </c>
      <c r="I21">
        <v>0.30199999999999999</v>
      </c>
      <c r="J21" s="7">
        <v>1.9599999999999999E-4</v>
      </c>
      <c r="K21">
        <v>9.3100000000000002E-2</v>
      </c>
      <c r="L21">
        <v>0.33600000000000002</v>
      </c>
      <c r="M21">
        <v>127.962</v>
      </c>
      <c r="O21" s="21">
        <v>19</v>
      </c>
      <c r="P21" s="5">
        <f t="shared" si="1"/>
        <v>1.0523826227353528</v>
      </c>
      <c r="Q21" s="5">
        <f t="shared" si="2"/>
        <v>0.37216203145143728</v>
      </c>
      <c r="R21" s="5">
        <f t="shared" si="3"/>
        <v>-0.7617535481717872</v>
      </c>
      <c r="S21" s="5">
        <f t="shared" si="4"/>
        <v>1.2484881315440084</v>
      </c>
      <c r="T21" s="5">
        <f t="shared" si="5"/>
        <v>-0.50453562586525313</v>
      </c>
      <c r="U21" s="5">
        <f t="shared" si="6"/>
        <v>0.36455013637494477</v>
      </c>
      <c r="V21" s="5">
        <f t="shared" si="7"/>
        <v>3.4411980811808287</v>
      </c>
      <c r="W21" s="5">
        <f t="shared" si="8"/>
        <v>-0.70463734162056535</v>
      </c>
      <c r="X21" s="5">
        <f t="shared" si="9"/>
        <v>-0.91602370758643847</v>
      </c>
      <c r="Y21" s="5">
        <f t="shared" si="10"/>
        <v>-0.16437234131275846</v>
      </c>
      <c r="Z21" s="6">
        <v>3</v>
      </c>
      <c r="AA21" s="6">
        <v>3</v>
      </c>
      <c r="AB21" s="6">
        <v>3</v>
      </c>
      <c r="AC21" s="6">
        <v>3</v>
      </c>
      <c r="AD21">
        <v>3</v>
      </c>
      <c r="AE21" s="6"/>
      <c r="AG21" s="5"/>
      <c r="AH21" s="5"/>
      <c r="AI21" s="5"/>
      <c r="AJ21" s="5"/>
      <c r="AK21" s="5"/>
      <c r="AL21" s="5"/>
      <c r="AM21" s="5"/>
      <c r="AN21" s="5"/>
      <c r="AO21" s="5"/>
      <c r="AP21" s="5"/>
      <c r="AR21">
        <v>20</v>
      </c>
      <c r="AS21" s="5">
        <f t="shared" si="17"/>
        <v>19.998227143195564</v>
      </c>
      <c r="AT21" s="5">
        <f t="shared" si="18"/>
        <v>16.397216647148504</v>
      </c>
      <c r="AU21" s="5">
        <f t="shared" si="12"/>
        <v>3.7415997799225913</v>
      </c>
      <c r="AV21" s="5">
        <f t="shared" si="13"/>
        <v>8.97931468875775</v>
      </c>
      <c r="AW21" s="5">
        <f t="shared" si="14"/>
        <v>3.7415997799225913</v>
      </c>
      <c r="AX21">
        <f t="shared" si="15"/>
        <v>3</v>
      </c>
      <c r="AY21" t="b">
        <f t="shared" si="0"/>
        <v>1</v>
      </c>
      <c r="AZ21" s="5"/>
      <c r="BA21">
        <v>1</v>
      </c>
      <c r="BB21" s="31">
        <v>-0.12208615112939136</v>
      </c>
      <c r="BC21">
        <v>-1.0795479204749283</v>
      </c>
      <c r="BD21">
        <v>0.40024338971737966</v>
      </c>
      <c r="BE21">
        <v>-1.3632751338300948</v>
      </c>
      <c r="BF21">
        <v>-0.31400731481832511</v>
      </c>
      <c r="BG21">
        <v>1.0551385554686183</v>
      </c>
      <c r="BH21">
        <v>-0.13501996389043855</v>
      </c>
      <c r="BI21">
        <v>-0.65377620299042016</v>
      </c>
      <c r="BJ21">
        <v>-0.71375396712807526</v>
      </c>
      <c r="BK21">
        <v>-0.39834994196677764</v>
      </c>
    </row>
    <row r="22" spans="1:102" x14ac:dyDescent="0.35">
      <c r="A22" s="3">
        <v>20</v>
      </c>
      <c r="B22" s="3" t="s">
        <v>47</v>
      </c>
      <c r="C22" s="3" t="s">
        <v>48</v>
      </c>
      <c r="D22">
        <v>0.70099999999999996</v>
      </c>
      <c r="E22">
        <v>0.71599999999999997</v>
      </c>
      <c r="F22">
        <v>7</v>
      </c>
      <c r="G22">
        <v>-3.6709999999999998</v>
      </c>
      <c r="H22">
        <v>3.61E-2</v>
      </c>
      <c r="I22">
        <v>0.17399999999999999</v>
      </c>
      <c r="J22" s="7">
        <v>0</v>
      </c>
      <c r="K22">
        <v>0.32400000000000001</v>
      </c>
      <c r="L22">
        <v>0.73199999999999998</v>
      </c>
      <c r="M22">
        <v>91.007000000000005</v>
      </c>
      <c r="O22" s="21">
        <v>20</v>
      </c>
      <c r="P22" s="5">
        <f t="shared" si="1"/>
        <v>0.2807981475975993</v>
      </c>
      <c r="Q22" s="5">
        <f t="shared" si="2"/>
        <v>0.34833095152925342</v>
      </c>
      <c r="R22" s="5">
        <f t="shared" si="3"/>
        <v>0.27113261884080558</v>
      </c>
      <c r="S22" s="5">
        <f t="shared" si="4"/>
        <v>1.2170619048147522</v>
      </c>
      <c r="T22" s="5">
        <f t="shared" si="5"/>
        <v>-0.80646573626748874</v>
      </c>
      <c r="U22" s="5">
        <f t="shared" si="6"/>
        <v>-0.24193574797490222</v>
      </c>
      <c r="V22" s="5">
        <f t="shared" si="7"/>
        <v>-0.50275317403913689</v>
      </c>
      <c r="W22" s="5">
        <f t="shared" si="8"/>
        <v>0.7913928379591183</v>
      </c>
      <c r="X22" s="5">
        <f t="shared" si="9"/>
        <v>0.78820644606274981</v>
      </c>
      <c r="Y22" s="5">
        <f t="shared" si="10"/>
        <v>-1.3534454299323169</v>
      </c>
      <c r="Z22" s="6">
        <v>3</v>
      </c>
      <c r="AA22" s="6">
        <v>4</v>
      </c>
      <c r="AB22" s="6">
        <v>3</v>
      </c>
      <c r="AC22" s="6">
        <v>3</v>
      </c>
      <c r="AD22">
        <v>3</v>
      </c>
      <c r="AE22" s="6"/>
      <c r="AG22" s="5"/>
      <c r="AH22" s="5"/>
      <c r="AI22" s="5"/>
      <c r="AJ22" s="5"/>
      <c r="AK22" s="5"/>
      <c r="AL22" s="5"/>
      <c r="AM22" s="5"/>
      <c r="AN22" s="5"/>
      <c r="AO22" s="5"/>
      <c r="AP22" s="5"/>
      <c r="AS22" s="5"/>
      <c r="AT22" s="5"/>
      <c r="AU22" s="5"/>
      <c r="AV22" s="5"/>
      <c r="AW22" s="5"/>
      <c r="AY22" s="5"/>
      <c r="AZ22" s="5"/>
      <c r="BA22">
        <v>2</v>
      </c>
      <c r="BB22" s="31">
        <v>-1.0108733313513598</v>
      </c>
      <c r="BC22">
        <v>-0.42419322261487269</v>
      </c>
      <c r="BD22">
        <v>-0.30986585010377787</v>
      </c>
      <c r="BE22">
        <v>-0.20362027594576826</v>
      </c>
      <c r="BF22">
        <v>1.5912757956509556</v>
      </c>
      <c r="BG22">
        <v>0.74952652780795304</v>
      </c>
      <c r="BH22">
        <v>-0.47407903863766521</v>
      </c>
      <c r="BI22">
        <v>0.76531435605003106</v>
      </c>
      <c r="BJ22">
        <v>-0.16719530674058314</v>
      </c>
      <c r="BK22">
        <v>0.67870959801912267</v>
      </c>
    </row>
    <row r="23" spans="1:102" x14ac:dyDescent="0.35">
      <c r="C23" t="s">
        <v>50</v>
      </c>
      <c r="D23" s="5">
        <f>AVERAGE(D3:D22)</f>
        <v>0.67225000000000001</v>
      </c>
      <c r="E23" s="5">
        <f t="shared" ref="E23:M23" si="21">AVERAGE(E3:E22)</f>
        <v>0.67215000000000003</v>
      </c>
      <c r="F23" s="5">
        <f t="shared" si="21"/>
        <v>5.95</v>
      </c>
      <c r="G23" s="5">
        <f t="shared" si="21"/>
        <v>-5.9171999999999993</v>
      </c>
      <c r="H23" s="5">
        <f t="shared" si="21"/>
        <v>7.4829999999999994E-2</v>
      </c>
      <c r="I23" s="5">
        <f t="shared" si="21"/>
        <v>0.2250609999999999</v>
      </c>
      <c r="J23" s="7">
        <f>AVERAGE(J3:J22)</f>
        <v>2.4984999999999999E-5</v>
      </c>
      <c r="K23" s="5">
        <f t="shared" si="21"/>
        <v>0.20185500000000003</v>
      </c>
      <c r="L23" s="5">
        <f t="shared" si="21"/>
        <v>0.54884999999999995</v>
      </c>
      <c r="M23" s="5">
        <f t="shared" si="21"/>
        <v>133.07049999999998</v>
      </c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R23" t="s">
        <v>58</v>
      </c>
      <c r="AS23" s="20">
        <f>SUM(AW2:AW21)</f>
        <v>110.74483180666309</v>
      </c>
      <c r="AT23" s="5"/>
      <c r="AU23" s="5"/>
      <c r="AV23" s="5"/>
      <c r="AW23" s="5"/>
      <c r="AX23" s="5"/>
      <c r="AY23" s="5"/>
      <c r="AZ23" s="5"/>
      <c r="BA23">
        <v>3</v>
      </c>
      <c r="BB23" s="31">
        <v>0.22002637459096944</v>
      </c>
      <c r="BC23">
        <v>0.81965675443466735</v>
      </c>
      <c r="BD23">
        <v>-0.15923661741444139</v>
      </c>
      <c r="BE23">
        <v>0.79846697292103663</v>
      </c>
      <c r="BF23">
        <v>-0.6343308687278234</v>
      </c>
      <c r="BG23">
        <v>-0.55208062586495288</v>
      </c>
      <c r="BH23">
        <v>0.4382950591366474</v>
      </c>
      <c r="BI23">
        <v>0.17889946575066112</v>
      </c>
      <c r="BJ23">
        <v>0.19430805918500241</v>
      </c>
      <c r="BK23">
        <v>-0.16346068107253245</v>
      </c>
      <c r="BL23" s="5"/>
      <c r="BM23" s="5"/>
      <c r="BN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O23" s="5"/>
      <c r="CP23" s="5"/>
      <c r="CQ23" s="5"/>
      <c r="CR23" s="5"/>
      <c r="CS23" s="5"/>
      <c r="CT23" s="5"/>
      <c r="CU23" s="5"/>
      <c r="CV23" s="5"/>
      <c r="CW23" s="5"/>
      <c r="CX23" s="5"/>
    </row>
    <row r="24" spans="1:102" x14ac:dyDescent="0.35">
      <c r="C24" t="s">
        <v>51</v>
      </c>
      <c r="D24" s="5">
        <f>STDEV(D3:D22)</f>
        <v>0.10238671531836609</v>
      </c>
      <c r="E24" s="5">
        <f t="shared" ref="E24:M24" si="22">STDEV(E3:E22)</f>
        <v>0.12588602823690603</v>
      </c>
      <c r="F24" s="5">
        <f t="shared" si="22"/>
        <v>3.8726435959241892</v>
      </c>
      <c r="G24" s="5">
        <f t="shared" si="22"/>
        <v>1.8455922341451412</v>
      </c>
      <c r="H24" s="5">
        <f t="shared" si="22"/>
        <v>4.8024358950761445E-2</v>
      </c>
      <c r="I24" s="5">
        <f t="shared" si="22"/>
        <v>0.21105190294282947</v>
      </c>
      <c r="J24" s="7">
        <f>STDEV(J3:J22)</f>
        <v>4.9696354573497008E-5</v>
      </c>
      <c r="K24" s="5">
        <f t="shared" si="22"/>
        <v>0.15434180616922608</v>
      </c>
      <c r="L24" s="5">
        <f t="shared" si="22"/>
        <v>0.23236298169708106</v>
      </c>
      <c r="M24" s="5">
        <f t="shared" si="22"/>
        <v>31.078829681447509</v>
      </c>
      <c r="P24" s="4"/>
      <c r="Q24" s="5"/>
      <c r="R24" s="5"/>
      <c r="S24" s="5"/>
      <c r="T24" s="5"/>
      <c r="U24" s="5"/>
      <c r="V24" s="5"/>
      <c r="W24" s="5"/>
      <c r="X24" s="5"/>
      <c r="Y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R24" t="s">
        <v>63</v>
      </c>
      <c r="AS24" s="28" t="str">
        <f>IF(AT24=20,"TRUE","FALSE")</f>
        <v>TRUE</v>
      </c>
      <c r="AT24" s="20">
        <f>COUNTIF(AY2:AY21,"TRUE")</f>
        <v>20</v>
      </c>
      <c r="AU24" s="5"/>
      <c r="AV24" s="5"/>
      <c r="AW24" s="5"/>
      <c r="AX24" s="5"/>
      <c r="AY24" s="5"/>
      <c r="AZ24" s="5"/>
      <c r="BA24">
        <v>4</v>
      </c>
      <c r="BB24" s="31">
        <v>0.85053351953475909</v>
      </c>
      <c r="BC24">
        <v>-0.45398207251760264</v>
      </c>
      <c r="BD24">
        <v>0.35720646609185497</v>
      </c>
      <c r="BE24">
        <v>-0.30620703906196151</v>
      </c>
      <c r="BF24">
        <v>0.19996796507329692</v>
      </c>
      <c r="BG24">
        <v>-0.74997823344056691</v>
      </c>
      <c r="BH24">
        <v>-0.50275317403913689</v>
      </c>
      <c r="BI24">
        <v>-0.68541593466479922</v>
      </c>
      <c r="BJ24">
        <v>0.59167485426987199</v>
      </c>
      <c r="BK24">
        <v>0.11656916848114134</v>
      </c>
      <c r="BL24" s="5"/>
      <c r="BM24" s="5"/>
      <c r="BN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O24" s="5"/>
      <c r="CP24" s="5"/>
      <c r="CQ24" s="5"/>
      <c r="CR24" s="5"/>
      <c r="CS24" s="5"/>
      <c r="CT24" s="5"/>
      <c r="CU24" s="5"/>
      <c r="CV24" s="5"/>
      <c r="CW24" s="5"/>
      <c r="CX24" s="5"/>
    </row>
    <row r="25" spans="1:102" x14ac:dyDescent="0.35">
      <c r="P25" s="5"/>
      <c r="Q25" s="5"/>
      <c r="R25" s="5"/>
      <c r="S25" s="5"/>
      <c r="T25" s="5"/>
      <c r="U25" s="5"/>
      <c r="V25" s="5"/>
      <c r="W25" s="5"/>
      <c r="X25" s="5"/>
      <c r="Y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T25" s="5"/>
      <c r="AU25" s="5"/>
      <c r="AV25" s="5"/>
      <c r="AW25" s="5"/>
      <c r="AX25" s="5"/>
      <c r="AY25" s="5"/>
      <c r="AZ25" s="5"/>
      <c r="BA25" t="s">
        <v>58</v>
      </c>
      <c r="BB25" s="31">
        <v>114.22575630599853</v>
      </c>
      <c r="BC25" s="5"/>
      <c r="BL25" s="5"/>
      <c r="BM25" s="5"/>
      <c r="BN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O25" s="5"/>
      <c r="CP25" s="5"/>
      <c r="CQ25" s="5"/>
      <c r="CR25" s="5"/>
      <c r="CS25" s="5"/>
      <c r="CT25" s="5"/>
      <c r="CU25" s="5"/>
      <c r="CV25" s="5"/>
      <c r="CW25" s="5"/>
      <c r="CX25" s="5"/>
    </row>
    <row r="26" spans="1:102" x14ac:dyDescent="0.35">
      <c r="P26" s="5"/>
      <c r="Q26" s="5"/>
      <c r="R26" s="5"/>
      <c r="S26" s="5"/>
      <c r="T26" s="5"/>
      <c r="U26" s="5"/>
      <c r="V26" s="5"/>
      <c r="W26" s="5"/>
      <c r="X26" s="5"/>
      <c r="Y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S26" s="5"/>
      <c r="AT26" s="5"/>
      <c r="AU26" s="5"/>
      <c r="AV26" s="5"/>
      <c r="AW26" s="5"/>
      <c r="AX26" s="5"/>
      <c r="AY26" s="5"/>
      <c r="AZ26" s="5"/>
      <c r="BA26" t="s">
        <v>63</v>
      </c>
      <c r="BB26" s="31" t="s">
        <v>64</v>
      </c>
      <c r="BC26" s="5">
        <v>19</v>
      </c>
      <c r="BL26" s="5"/>
      <c r="BM26" s="5"/>
      <c r="BN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O26" s="5"/>
      <c r="CP26" s="5"/>
      <c r="CQ26" s="5"/>
      <c r="CR26" s="5"/>
      <c r="CS26" s="5"/>
      <c r="CT26" s="5"/>
      <c r="CU26" s="5"/>
      <c r="CV26" s="5"/>
      <c r="CW26" s="5"/>
      <c r="CX26" s="5"/>
    </row>
    <row r="27" spans="1:102" x14ac:dyDescent="0.35">
      <c r="P27" s="5"/>
      <c r="Q27" s="5"/>
      <c r="R27" s="5"/>
      <c r="S27" s="5"/>
      <c r="T27" s="5"/>
      <c r="U27" s="5"/>
      <c r="V27" s="5"/>
      <c r="W27" s="5"/>
      <c r="X27" s="5"/>
      <c r="Y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S27" s="5"/>
      <c r="AT27" s="5"/>
      <c r="AU27" s="5"/>
      <c r="AV27" s="5"/>
      <c r="AW27" s="5"/>
      <c r="AX27" s="5"/>
      <c r="AY27" s="5"/>
      <c r="AZ27" s="5"/>
      <c r="BA27" s="5"/>
      <c r="BB27" s="31"/>
      <c r="BE27" s="5"/>
      <c r="BF27" s="5"/>
      <c r="BG27" s="5"/>
      <c r="BH27" s="5"/>
      <c r="BI27" s="5"/>
      <c r="BJ27" s="5"/>
      <c r="BK27" s="5"/>
      <c r="BL27" s="5"/>
      <c r="BM27" s="5"/>
      <c r="BN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O27" s="5"/>
      <c r="CP27" s="5"/>
      <c r="CQ27" s="5"/>
      <c r="CR27" s="5"/>
      <c r="CS27" s="5"/>
      <c r="CT27" s="5"/>
      <c r="CU27" s="5"/>
      <c r="CV27" s="5"/>
      <c r="CW27" s="5"/>
      <c r="CX27" s="5"/>
    </row>
    <row r="28" spans="1:102" x14ac:dyDescent="0.35">
      <c r="P28" s="5"/>
      <c r="Q28" s="5"/>
      <c r="R28" s="5"/>
      <c r="S28" s="5"/>
      <c r="T28" s="5"/>
      <c r="U28" s="5"/>
      <c r="V28" s="5"/>
      <c r="W28" s="5"/>
      <c r="X28" s="5"/>
      <c r="Y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S28" s="5"/>
      <c r="AT28" s="5"/>
      <c r="AU28" s="5"/>
      <c r="AV28" s="5"/>
      <c r="AW28" s="5"/>
      <c r="AX28" s="5"/>
      <c r="AY28" s="5"/>
      <c r="AZ28" s="5"/>
      <c r="BA28" s="26" t="s">
        <v>69</v>
      </c>
      <c r="BB28" s="26"/>
      <c r="BC28" s="26"/>
      <c r="BD28" s="26"/>
      <c r="BE28" s="26"/>
      <c r="BF28" s="26"/>
      <c r="BG28" s="26"/>
      <c r="BH28" s="26"/>
      <c r="BI28" s="26"/>
      <c r="BJ28" s="26"/>
      <c r="BK28" s="26"/>
      <c r="BL28" s="5"/>
      <c r="BM28" s="5"/>
      <c r="BN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O28" s="5"/>
      <c r="CP28" s="5"/>
      <c r="CQ28" s="5"/>
      <c r="CR28" s="5"/>
      <c r="CS28" s="5"/>
      <c r="CT28" s="5"/>
      <c r="CU28" s="5"/>
      <c r="CV28" s="5"/>
      <c r="CW28" s="5"/>
      <c r="CX28" s="5"/>
    </row>
    <row r="29" spans="1:102" x14ac:dyDescent="0.35">
      <c r="P29" s="5"/>
      <c r="Q29" s="5"/>
      <c r="R29" s="5"/>
      <c r="S29" s="5"/>
      <c r="T29" s="5"/>
      <c r="U29" s="5"/>
      <c r="V29" s="5"/>
      <c r="W29" s="5"/>
      <c r="X29" s="5"/>
      <c r="Y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S29" s="5"/>
      <c r="AT29" s="5"/>
      <c r="AU29" s="5"/>
      <c r="AV29" s="5"/>
      <c r="AW29" s="5"/>
      <c r="AX29" s="5"/>
      <c r="AY29" s="5"/>
      <c r="AZ29" s="5"/>
      <c r="BA29" s="5"/>
      <c r="BB29" s="31" t="s">
        <v>3</v>
      </c>
      <c r="BC29" t="s">
        <v>4</v>
      </c>
      <c r="BD29" t="s">
        <v>5</v>
      </c>
      <c r="BE29" s="5" t="s">
        <v>6</v>
      </c>
      <c r="BF29" s="5" t="s">
        <v>7</v>
      </c>
      <c r="BG29" s="5" t="s">
        <v>8</v>
      </c>
      <c r="BH29" s="5" t="s">
        <v>9</v>
      </c>
      <c r="BI29" s="5" t="s">
        <v>10</v>
      </c>
      <c r="BJ29" s="5" t="s">
        <v>11</v>
      </c>
      <c r="BK29" s="5" t="s">
        <v>12</v>
      </c>
      <c r="BL29" s="5"/>
      <c r="BM29" s="5"/>
      <c r="BN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O29" s="5"/>
      <c r="CP29" s="5"/>
      <c r="CQ29" s="5"/>
      <c r="CR29" s="5"/>
      <c r="CS29" s="5"/>
      <c r="CT29" s="5"/>
      <c r="CU29" s="5"/>
      <c r="CV29" s="5"/>
      <c r="CW29" s="5"/>
      <c r="CX29" s="5"/>
    </row>
    <row r="30" spans="1:102" x14ac:dyDescent="0.35">
      <c r="J30" s="1"/>
      <c r="P30" s="5"/>
      <c r="Q30" s="5"/>
      <c r="R30" s="5"/>
      <c r="S30" s="5"/>
      <c r="T30" s="5"/>
      <c r="U30" s="5"/>
      <c r="V30" s="5"/>
      <c r="W30" s="5"/>
      <c r="X30" s="5"/>
      <c r="Y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S30" s="5"/>
      <c r="AT30" s="5"/>
      <c r="AU30" s="5"/>
      <c r="AV30" s="5"/>
      <c r="AW30" s="5"/>
      <c r="AX30" s="5"/>
      <c r="AY30" s="5"/>
      <c r="AZ30" s="5"/>
      <c r="BA30">
        <v>1</v>
      </c>
      <c r="BB30" s="31">
        <v>0.11801661275841153</v>
      </c>
      <c r="BC30">
        <v>-1.2907177675631685</v>
      </c>
      <c r="BD30">
        <v>0.61542800784500318</v>
      </c>
      <c r="BE30" s="5">
        <v>-1.4480266102249428</v>
      </c>
      <c r="BF30" s="5">
        <v>-0.12417309597921826</v>
      </c>
      <c r="BG30" s="5">
        <v>1.4748615340258366</v>
      </c>
      <c r="BH30" s="5">
        <v>-1.244222717420577E-2</v>
      </c>
      <c r="BI30" s="5">
        <v>-0.63595860665501902</v>
      </c>
      <c r="BJ30" s="5">
        <v>-1.1957584550288558</v>
      </c>
      <c r="BK30" s="5">
        <v>-0.69220216957446723</v>
      </c>
      <c r="BL30" s="5"/>
      <c r="BM30" s="5"/>
      <c r="BN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O30" s="5"/>
      <c r="CP30" s="5"/>
      <c r="CQ30" s="5"/>
      <c r="CR30" s="5"/>
      <c r="CS30" s="5"/>
      <c r="CT30" s="5"/>
      <c r="CU30" s="5"/>
      <c r="CV30" s="5"/>
      <c r="CW30" s="5"/>
      <c r="CX30" s="5"/>
    </row>
    <row r="31" spans="1:102" x14ac:dyDescent="0.35">
      <c r="P31" s="5"/>
      <c r="Q31" s="5"/>
      <c r="R31" s="5"/>
      <c r="S31" s="5"/>
      <c r="T31" s="5"/>
      <c r="U31" s="5"/>
      <c r="V31" s="5"/>
      <c r="W31" s="5"/>
      <c r="X31" s="5"/>
      <c r="Y31" s="5"/>
      <c r="AS31" s="5"/>
      <c r="AT31" s="5"/>
      <c r="AU31" s="5"/>
      <c r="AV31" s="5"/>
      <c r="AW31" s="5"/>
      <c r="AX31" s="5"/>
      <c r="AY31" s="5"/>
      <c r="AZ31" s="5"/>
      <c r="BA31">
        <v>2</v>
      </c>
      <c r="BB31" s="31">
        <v>-1.0108733313513598</v>
      </c>
      <c r="BC31">
        <v>-0.42419322261487269</v>
      </c>
      <c r="BD31">
        <v>-0.30986585010377787</v>
      </c>
      <c r="BE31" s="5">
        <v>-0.20362027594576826</v>
      </c>
      <c r="BF31" s="5">
        <v>1.5912757956509556</v>
      </c>
      <c r="BG31" s="5">
        <v>0.74952652780795304</v>
      </c>
      <c r="BH31" s="5">
        <v>-0.47407903863766521</v>
      </c>
      <c r="BI31" s="5">
        <v>0.76531435605003106</v>
      </c>
      <c r="BJ31" s="5">
        <v>-0.16719530674058314</v>
      </c>
      <c r="BK31" s="5">
        <v>0.67870959801912267</v>
      </c>
      <c r="BL31" s="5"/>
      <c r="BM31" s="5"/>
      <c r="BN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O31" s="5"/>
      <c r="CP31" s="5"/>
      <c r="CQ31" s="5"/>
      <c r="CR31" s="5"/>
      <c r="CS31" s="5"/>
      <c r="CT31" s="5"/>
      <c r="CU31" s="5"/>
      <c r="CV31" s="5"/>
      <c r="CW31" s="5"/>
      <c r="CX31" s="5"/>
    </row>
    <row r="32" spans="1:102" x14ac:dyDescent="0.35">
      <c r="J32" s="1"/>
      <c r="P32" s="5"/>
      <c r="Q32" s="5"/>
      <c r="R32" s="5"/>
      <c r="S32" s="5"/>
      <c r="T32" s="5"/>
      <c r="U32" s="5"/>
      <c r="V32" s="5"/>
      <c r="W32" s="5"/>
      <c r="X32" s="5"/>
      <c r="Y32" s="5"/>
      <c r="AG32" s="25"/>
      <c r="AH32" s="25"/>
      <c r="AI32" s="25"/>
      <c r="AJ32" s="25"/>
      <c r="AK32" s="25"/>
      <c r="AL32" s="25"/>
      <c r="AM32" s="25"/>
      <c r="AN32" s="25"/>
      <c r="AO32" s="25"/>
      <c r="AP32" s="25"/>
      <c r="AS32" s="3"/>
      <c r="AT32" s="3"/>
      <c r="AU32" s="3"/>
      <c r="AV32" s="3"/>
      <c r="AW32" s="3"/>
      <c r="AX32" s="3"/>
      <c r="AY32" s="3"/>
      <c r="AZ32" s="3"/>
      <c r="BA32">
        <v>3</v>
      </c>
      <c r="BB32" s="29">
        <v>0.22002637459096944</v>
      </c>
      <c r="BC32">
        <v>0.81965675443466735</v>
      </c>
      <c r="BD32">
        <v>-0.15923661741444139</v>
      </c>
      <c r="BE32">
        <v>0.79846697292103663</v>
      </c>
      <c r="BF32">
        <v>-0.6343308687278234</v>
      </c>
      <c r="BG32">
        <v>-0.55208062586495288</v>
      </c>
      <c r="BH32">
        <v>0.4382950591366474</v>
      </c>
      <c r="BI32">
        <v>0.17889946575066112</v>
      </c>
      <c r="BJ32">
        <v>0.19430805918500241</v>
      </c>
      <c r="BK32">
        <v>-0.16346068107253245</v>
      </c>
      <c r="BQ32" s="5"/>
      <c r="BR32" s="5"/>
      <c r="BS32" s="5"/>
      <c r="BT32" s="5"/>
      <c r="BU32" s="5"/>
      <c r="BV32" s="5"/>
      <c r="BW32" s="5"/>
      <c r="BX32" s="5"/>
      <c r="BY32" s="5"/>
      <c r="BZ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O32" s="5"/>
      <c r="CP32" s="5"/>
      <c r="CQ32" s="5"/>
      <c r="CR32" s="5"/>
      <c r="CS32" s="5"/>
      <c r="CT32" s="5"/>
      <c r="CU32" s="5"/>
      <c r="CV32" s="5"/>
      <c r="CW32" s="5"/>
      <c r="CX32" s="5"/>
    </row>
    <row r="33" spans="3:102" x14ac:dyDescent="0.35">
      <c r="P33" s="5"/>
      <c r="Q33" s="5"/>
      <c r="R33" s="5"/>
      <c r="S33" s="5"/>
      <c r="T33" s="5"/>
      <c r="U33" s="5"/>
      <c r="V33" s="5"/>
      <c r="W33" s="5"/>
      <c r="X33" s="5"/>
      <c r="Y33" s="5"/>
      <c r="BA33">
        <v>4</v>
      </c>
      <c r="BB33" s="29">
        <v>0.42730152895286927</v>
      </c>
      <c r="BC33">
        <v>-0.45199614919075393</v>
      </c>
      <c r="BD33">
        <v>0.20657723340251849</v>
      </c>
      <c r="BE33">
        <v>-0.50691045545785884</v>
      </c>
      <c r="BF33">
        <v>-7.0901519028938709E-2</v>
      </c>
      <c r="BG33">
        <v>-0.61349127013118432</v>
      </c>
      <c r="BH33">
        <v>-0.50275317403913689</v>
      </c>
      <c r="BI33">
        <v>-0.69086919899775534</v>
      </c>
      <c r="BJ33">
        <v>0.62682101484597053</v>
      </c>
      <c r="BK33">
        <v>0.20822856157492875</v>
      </c>
      <c r="BQ33" s="5"/>
      <c r="BR33" s="5"/>
      <c r="BS33" s="5"/>
      <c r="BT33" s="5"/>
      <c r="BU33" s="5"/>
      <c r="BV33" s="5"/>
      <c r="BW33" s="5"/>
      <c r="BX33" s="5"/>
      <c r="BY33" s="5"/>
      <c r="BZ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O33" s="5"/>
      <c r="CP33" s="5"/>
      <c r="CQ33" s="5"/>
      <c r="CR33" s="5"/>
      <c r="CS33" s="5"/>
      <c r="CT33" s="5"/>
      <c r="CU33" s="5"/>
      <c r="CV33" s="5"/>
      <c r="CW33" s="5"/>
      <c r="CX33" s="5"/>
    </row>
    <row r="34" spans="3:102" x14ac:dyDescent="0.35">
      <c r="P34" s="5"/>
      <c r="Q34" s="5"/>
      <c r="R34" s="5"/>
      <c r="S34" s="5"/>
      <c r="T34" s="5"/>
      <c r="U34" s="5"/>
      <c r="V34" s="5"/>
      <c r="W34" s="5"/>
      <c r="X34" s="5"/>
      <c r="Y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S34" s="5"/>
      <c r="AT34" s="5"/>
      <c r="AU34" s="5"/>
      <c r="AV34" s="5"/>
      <c r="AW34" s="5"/>
      <c r="AX34" s="5"/>
      <c r="AY34" s="5"/>
      <c r="AZ34" s="5"/>
      <c r="BA34" s="5" t="s">
        <v>58</v>
      </c>
      <c r="BB34" s="31">
        <v>110.74483180666309</v>
      </c>
      <c r="BQ34" s="5"/>
      <c r="BR34" s="5"/>
      <c r="BS34" s="5"/>
      <c r="BT34" s="5"/>
      <c r="BU34" s="5"/>
      <c r="BV34" s="5"/>
      <c r="BW34" s="5"/>
      <c r="BX34" s="5"/>
      <c r="BY34" s="5"/>
      <c r="BZ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O34" s="5"/>
      <c r="CP34" s="5"/>
      <c r="CQ34" s="5"/>
      <c r="CR34" s="5"/>
      <c r="CS34" s="5"/>
      <c r="CT34" s="5"/>
      <c r="CU34" s="5"/>
      <c r="CV34" s="5"/>
      <c r="CW34" s="5"/>
      <c r="CX34" s="5"/>
    </row>
    <row r="35" spans="3:102" x14ac:dyDescent="0.35">
      <c r="P35" s="5"/>
      <c r="Q35" s="5"/>
      <c r="R35" s="5"/>
      <c r="S35" s="5"/>
      <c r="T35" s="5"/>
      <c r="U35" s="5"/>
      <c r="V35" s="5"/>
      <c r="W35" s="5"/>
      <c r="X35" s="5"/>
      <c r="Y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S35" s="5"/>
      <c r="AT35" s="5"/>
      <c r="AU35" s="5"/>
      <c r="AV35" s="5"/>
      <c r="AW35" s="5"/>
      <c r="AX35" s="5"/>
      <c r="AY35" s="5"/>
      <c r="AZ35" s="5"/>
      <c r="BA35" s="5" t="s">
        <v>63</v>
      </c>
      <c r="BB35" s="31" t="s">
        <v>65</v>
      </c>
      <c r="BC35">
        <v>20</v>
      </c>
      <c r="BQ35" s="5"/>
      <c r="BR35" s="5"/>
      <c r="BS35" s="5"/>
      <c r="BT35" s="5"/>
      <c r="BU35" s="5"/>
      <c r="BV35" s="5"/>
      <c r="BW35" s="5"/>
      <c r="BX35" s="5"/>
      <c r="BY35" s="5"/>
      <c r="BZ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O35" s="5"/>
      <c r="CP35" s="5"/>
      <c r="CQ35" s="5"/>
      <c r="CR35" s="5"/>
      <c r="CS35" s="5"/>
      <c r="CT35" s="5"/>
      <c r="CU35" s="5"/>
      <c r="CV35" s="5"/>
      <c r="CW35" s="5"/>
      <c r="CX35" s="5"/>
    </row>
    <row r="36" spans="3:102" x14ac:dyDescent="0.35">
      <c r="P36" s="5"/>
      <c r="Q36" s="5"/>
      <c r="R36" s="5"/>
      <c r="S36" s="5"/>
      <c r="T36" s="5"/>
      <c r="U36" s="5"/>
      <c r="V36" s="5"/>
      <c r="W36" s="5"/>
      <c r="X36" s="5"/>
      <c r="Y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S36" s="5"/>
      <c r="AT36" s="5"/>
      <c r="AU36" s="5"/>
      <c r="AV36" s="5"/>
      <c r="AW36" s="5"/>
      <c r="AX36" s="5"/>
      <c r="AY36" s="5"/>
      <c r="AZ36" s="5"/>
      <c r="BA36" s="5"/>
      <c r="BB36" s="31"/>
      <c r="BQ36" s="5"/>
      <c r="BR36" s="5"/>
      <c r="BS36" s="5"/>
      <c r="BT36" s="5"/>
      <c r="BU36" s="5"/>
      <c r="BV36" s="5"/>
      <c r="BW36" s="5"/>
      <c r="BX36" s="5"/>
      <c r="BY36" s="5"/>
      <c r="BZ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O36" s="5"/>
      <c r="CP36" s="5"/>
      <c r="CQ36" s="5"/>
      <c r="CR36" s="5"/>
      <c r="CS36" s="5"/>
      <c r="CT36" s="5"/>
      <c r="CU36" s="5"/>
      <c r="CV36" s="5"/>
      <c r="CW36" s="5"/>
      <c r="CX36" s="5"/>
    </row>
    <row r="37" spans="3:102" x14ac:dyDescent="0.35">
      <c r="P37" s="5"/>
      <c r="Q37" s="5"/>
      <c r="R37" s="5"/>
      <c r="S37" s="5"/>
      <c r="T37" s="5"/>
      <c r="U37" s="5"/>
      <c r="V37" s="5"/>
      <c r="W37" s="5"/>
      <c r="X37" s="5"/>
      <c r="Y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S37" s="5"/>
      <c r="AT37" s="5"/>
      <c r="AU37" s="5"/>
      <c r="AV37" s="5"/>
      <c r="AW37" s="5"/>
      <c r="AX37" s="5"/>
      <c r="AY37" s="5"/>
      <c r="AZ37" s="5"/>
      <c r="BA37" s="5"/>
      <c r="BB37" s="31"/>
      <c r="BQ37" s="5"/>
      <c r="BR37" s="5"/>
      <c r="BS37" s="5"/>
      <c r="BT37" s="5"/>
      <c r="BU37" s="5"/>
      <c r="BV37" s="5"/>
      <c r="BW37" s="5"/>
      <c r="BX37" s="5"/>
      <c r="BY37" s="5"/>
      <c r="BZ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O37" s="5"/>
      <c r="CP37" s="5"/>
      <c r="CQ37" s="5"/>
      <c r="CR37" s="5"/>
      <c r="CS37" s="5"/>
      <c r="CT37" s="5"/>
      <c r="CU37" s="5"/>
      <c r="CV37" s="5"/>
      <c r="CW37" s="5"/>
      <c r="CX37" s="5"/>
    </row>
    <row r="38" spans="3:102" x14ac:dyDescent="0.35">
      <c r="P38" s="5"/>
      <c r="Q38" s="5"/>
      <c r="R38" s="5"/>
      <c r="S38" s="5"/>
      <c r="T38" s="5"/>
      <c r="U38" s="5"/>
      <c r="V38" s="5"/>
      <c r="W38" s="5"/>
      <c r="X38" s="5"/>
      <c r="Y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S38" s="5"/>
      <c r="AT38" s="5"/>
      <c r="AU38" s="5"/>
      <c r="AV38" s="5"/>
      <c r="AW38" s="5"/>
      <c r="AX38" s="5"/>
      <c r="AY38" s="5"/>
      <c r="AZ38" s="5"/>
      <c r="BA38" s="5"/>
      <c r="BB38" s="31"/>
      <c r="BQ38" s="5"/>
      <c r="BR38" s="5"/>
      <c r="BS38" s="5"/>
      <c r="BT38" s="5"/>
      <c r="BU38" s="5"/>
      <c r="BV38" s="5"/>
      <c r="BW38" s="5"/>
      <c r="BX38" s="5"/>
      <c r="BY38" s="5"/>
      <c r="BZ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O38" s="5"/>
      <c r="CP38" s="5"/>
      <c r="CQ38" s="5"/>
      <c r="CR38" s="5"/>
      <c r="CS38" s="5"/>
      <c r="CT38" s="5"/>
      <c r="CU38" s="5"/>
      <c r="CV38" s="5"/>
      <c r="CW38" s="5"/>
      <c r="CX38" s="5"/>
    </row>
    <row r="39" spans="3:102" x14ac:dyDescent="0.35">
      <c r="D39" s="3" t="s">
        <v>3</v>
      </c>
      <c r="E39" s="3" t="s">
        <v>4</v>
      </c>
      <c r="F39" s="3" t="s">
        <v>5</v>
      </c>
      <c r="G39" s="3" t="s">
        <v>6</v>
      </c>
      <c r="H39" s="3" t="s">
        <v>7</v>
      </c>
      <c r="I39" s="3" t="s">
        <v>8</v>
      </c>
      <c r="J39" s="3" t="s">
        <v>9</v>
      </c>
      <c r="K39" s="3" t="s">
        <v>10</v>
      </c>
      <c r="L39" s="3" t="s">
        <v>11</v>
      </c>
      <c r="M39" s="3" t="s">
        <v>12</v>
      </c>
      <c r="P39" s="5"/>
      <c r="Q39" s="5"/>
      <c r="R39" s="5"/>
      <c r="S39" s="5"/>
      <c r="T39" s="5"/>
      <c r="U39" s="5"/>
      <c r="V39" s="5"/>
      <c r="W39" s="5"/>
      <c r="X39" s="5"/>
      <c r="Y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S39" s="5"/>
      <c r="AT39" s="5"/>
      <c r="AU39" s="5"/>
      <c r="AV39" s="5"/>
      <c r="AW39" s="5"/>
      <c r="AX39" s="5"/>
      <c r="AY39" s="5"/>
      <c r="AZ39" s="5"/>
      <c r="BA39" s="5"/>
      <c r="BB39" s="31"/>
      <c r="BQ39" s="5"/>
      <c r="BR39" s="5"/>
      <c r="BS39" s="5"/>
      <c r="BT39" s="5"/>
      <c r="BU39" s="5"/>
      <c r="BV39" s="5"/>
      <c r="BW39" s="5"/>
      <c r="BX39" s="5"/>
      <c r="BY39" s="5"/>
      <c r="BZ39" s="5"/>
      <c r="CC39" s="5"/>
      <c r="CD39" s="5"/>
      <c r="CE39" s="5"/>
      <c r="CF39" s="5"/>
      <c r="CG39" s="5"/>
      <c r="CH39" s="5"/>
      <c r="CI39" s="5"/>
      <c r="CJ39" s="5"/>
      <c r="CK39" s="5"/>
      <c r="CL39" s="5"/>
      <c r="CO39" s="5"/>
      <c r="CP39" s="5"/>
      <c r="CQ39" s="5"/>
      <c r="CR39" s="5"/>
      <c r="CS39" s="5"/>
      <c r="CT39" s="5"/>
      <c r="CU39" s="5"/>
      <c r="CV39" s="5"/>
      <c r="CW39" s="5"/>
      <c r="CX39" s="5"/>
    </row>
    <row r="40" spans="3:102" x14ac:dyDescent="0.35">
      <c r="C40" t="s">
        <v>50</v>
      </c>
      <c r="D40" s="5">
        <f>D23</f>
        <v>0.67225000000000001</v>
      </c>
      <c r="E40" s="5">
        <f>E23</f>
        <v>0.67215000000000003</v>
      </c>
      <c r="F40" s="5">
        <f>F23</f>
        <v>5.95</v>
      </c>
      <c r="G40" s="5">
        <f>G23</f>
        <v>-5.9171999999999993</v>
      </c>
      <c r="H40" s="5">
        <f>H23</f>
        <v>7.4829999999999994E-2</v>
      </c>
      <c r="I40" s="5">
        <f>I23</f>
        <v>0.2250609999999999</v>
      </c>
      <c r="J40" s="5">
        <f>J23</f>
        <v>2.4984999999999999E-5</v>
      </c>
      <c r="K40" s="5">
        <f>K23</f>
        <v>0.20185500000000003</v>
      </c>
      <c r="L40" s="5">
        <f>L23</f>
        <v>0.54884999999999995</v>
      </c>
      <c r="M40" s="5">
        <f>M23</f>
        <v>133.07049999999998</v>
      </c>
      <c r="P40" s="5"/>
      <c r="Q40" s="5"/>
      <c r="R40" s="5"/>
      <c r="S40" s="5"/>
      <c r="T40" s="5"/>
      <c r="U40" s="5"/>
      <c r="V40" s="5"/>
      <c r="W40" s="5"/>
      <c r="X40" s="5"/>
      <c r="Y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S40" s="5"/>
      <c r="AT40" s="5"/>
      <c r="AU40" s="5"/>
      <c r="AV40" s="5"/>
      <c r="AW40" s="5"/>
      <c r="AX40" s="5"/>
      <c r="AY40" s="5"/>
      <c r="AZ40" s="5"/>
      <c r="BA40" s="5"/>
      <c r="BB40" s="31"/>
      <c r="BQ40" s="5"/>
      <c r="BR40" s="5"/>
      <c r="BS40" s="5"/>
      <c r="BT40" s="5"/>
      <c r="BU40" s="5"/>
      <c r="BV40" s="5"/>
      <c r="BW40" s="5"/>
      <c r="BX40" s="5"/>
      <c r="BY40" s="5"/>
      <c r="BZ40" s="5"/>
      <c r="CC40" s="5"/>
      <c r="CD40" s="5"/>
      <c r="CE40" s="5"/>
      <c r="CF40" s="5"/>
      <c r="CG40" s="5"/>
      <c r="CH40" s="5"/>
      <c r="CI40" s="5"/>
      <c r="CJ40" s="5"/>
      <c r="CK40" s="5"/>
      <c r="CL40" s="5"/>
      <c r="CO40" s="5"/>
      <c r="CP40" s="5"/>
      <c r="CQ40" s="5"/>
      <c r="CR40" s="5"/>
      <c r="CS40" s="5"/>
      <c r="CT40" s="5"/>
      <c r="CU40" s="5"/>
      <c r="CV40" s="5"/>
      <c r="CW40" s="5"/>
      <c r="CX40" s="5"/>
    </row>
    <row r="41" spans="3:102" x14ac:dyDescent="0.35">
      <c r="C41" t="s">
        <v>51</v>
      </c>
      <c r="D41" s="5">
        <f>D24</f>
        <v>0.10238671531836609</v>
      </c>
      <c r="E41" s="5">
        <f>E24</f>
        <v>0.12588602823690603</v>
      </c>
      <c r="F41" s="5">
        <f>F24</f>
        <v>3.8726435959241892</v>
      </c>
      <c r="G41" s="5">
        <f>G24</f>
        <v>1.8455922341451412</v>
      </c>
      <c r="H41" s="5">
        <f>H24</f>
        <v>4.8024358950761445E-2</v>
      </c>
      <c r="I41" s="5">
        <f>I24</f>
        <v>0.21105190294282947</v>
      </c>
      <c r="J41" s="5">
        <f>J24</f>
        <v>4.9696354573497008E-5</v>
      </c>
      <c r="K41" s="5">
        <f>K24</f>
        <v>0.15434180616922608</v>
      </c>
      <c r="L41" s="5">
        <f>L24</f>
        <v>0.23236298169708106</v>
      </c>
      <c r="M41" s="5">
        <f>M24</f>
        <v>31.078829681447509</v>
      </c>
      <c r="P41" s="5"/>
      <c r="Q41" s="5"/>
      <c r="R41" s="5"/>
      <c r="S41" s="5"/>
      <c r="T41" s="5"/>
      <c r="U41" s="5"/>
      <c r="V41" s="5"/>
      <c r="W41" s="5"/>
      <c r="X41" s="5"/>
      <c r="Y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S41" s="5"/>
      <c r="AT41" s="5"/>
      <c r="AU41" s="5"/>
      <c r="AV41" s="5"/>
      <c r="AW41" s="5"/>
      <c r="AX41" s="5"/>
      <c r="AY41" s="5"/>
      <c r="AZ41" s="5"/>
      <c r="BA41" s="5"/>
      <c r="BB41" s="31"/>
      <c r="BQ41" s="5"/>
      <c r="BR41" s="5"/>
      <c r="BS41" s="5"/>
      <c r="BT41" s="5"/>
      <c r="BU41" s="5"/>
      <c r="BV41" s="5"/>
      <c r="BW41" s="5"/>
      <c r="BX41" s="5"/>
      <c r="BY41" s="5"/>
      <c r="BZ41" s="5"/>
      <c r="CC41" s="5"/>
      <c r="CD41" s="5"/>
      <c r="CE41" s="5"/>
      <c r="CF41" s="5"/>
      <c r="CG41" s="5"/>
      <c r="CH41" s="5"/>
      <c r="CI41" s="5"/>
      <c r="CJ41" s="5"/>
      <c r="CK41" s="5"/>
      <c r="CL41" s="5"/>
      <c r="CO41" s="5"/>
      <c r="CP41" s="5"/>
      <c r="CQ41" s="5"/>
      <c r="CR41" s="5"/>
      <c r="CS41" s="5"/>
      <c r="CT41" s="5"/>
      <c r="CU41" s="5"/>
      <c r="CV41" s="5"/>
      <c r="CW41" s="5"/>
      <c r="CX41" s="5"/>
    </row>
    <row r="42" spans="3:102" x14ac:dyDescent="0.35">
      <c r="P42" s="5"/>
      <c r="Q42" s="5"/>
      <c r="R42" s="5"/>
      <c r="S42" s="5"/>
      <c r="T42" s="5"/>
      <c r="U42" s="5"/>
      <c r="V42" s="5"/>
      <c r="W42" s="5"/>
      <c r="X42" s="5"/>
      <c r="Y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S42" s="5"/>
      <c r="AT42" s="5"/>
      <c r="AU42" s="5"/>
      <c r="AV42" s="5"/>
      <c r="AW42" s="5"/>
      <c r="AX42" s="5"/>
      <c r="AY42" s="5"/>
      <c r="AZ42" s="5"/>
      <c r="BA42" s="5"/>
      <c r="BB42" s="31"/>
      <c r="BQ42" s="5"/>
      <c r="BR42" s="5"/>
      <c r="BS42" s="5"/>
      <c r="BT42" s="5"/>
      <c r="BU42" s="5"/>
      <c r="BV42" s="5"/>
      <c r="BW42" s="5"/>
      <c r="BX42" s="5"/>
      <c r="BY42" s="5"/>
      <c r="BZ42" s="5"/>
      <c r="CC42" s="5"/>
      <c r="CD42" s="5"/>
      <c r="CE42" s="5"/>
      <c r="CF42" s="5"/>
      <c r="CG42" s="5"/>
      <c r="CH42" s="5"/>
      <c r="CI42" s="5"/>
      <c r="CJ42" s="5"/>
      <c r="CK42" s="5"/>
      <c r="CL42" s="5"/>
      <c r="CO42" s="5"/>
      <c r="CP42" s="5"/>
      <c r="CQ42" s="5"/>
      <c r="CR42" s="5"/>
      <c r="CS42" s="5"/>
      <c r="CT42" s="5"/>
      <c r="CU42" s="5"/>
      <c r="CV42" s="5"/>
      <c r="CW42" s="5"/>
      <c r="CX42" s="5"/>
    </row>
    <row r="43" spans="3:102" x14ac:dyDescent="0.35">
      <c r="P43" s="5"/>
      <c r="Q43" s="5"/>
      <c r="R43" s="5"/>
      <c r="S43" s="5"/>
      <c r="T43" s="5"/>
      <c r="U43" s="5"/>
      <c r="V43" s="5"/>
      <c r="W43" s="5"/>
      <c r="X43" s="5"/>
      <c r="Y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S43" s="5"/>
      <c r="AT43" s="5"/>
      <c r="AU43" s="5"/>
      <c r="AV43" s="5"/>
      <c r="AW43" s="5"/>
      <c r="AX43" s="5"/>
      <c r="AY43" s="5"/>
      <c r="AZ43" s="5"/>
      <c r="BA43" s="5"/>
      <c r="BB43" s="31"/>
      <c r="BQ43" s="5"/>
      <c r="BR43" s="5"/>
      <c r="BS43" s="5"/>
      <c r="BT43" s="5"/>
      <c r="BU43" s="5"/>
      <c r="BV43" s="5"/>
      <c r="BW43" s="5"/>
      <c r="BX43" s="5"/>
      <c r="BY43" s="5"/>
      <c r="BZ43" s="5"/>
      <c r="CC43" s="5"/>
      <c r="CD43" s="5"/>
      <c r="CE43" s="5"/>
      <c r="CF43" s="5"/>
      <c r="CG43" s="5"/>
      <c r="CH43" s="5"/>
      <c r="CI43" s="5"/>
      <c r="CJ43" s="5"/>
      <c r="CK43" s="5"/>
      <c r="CL43" s="5"/>
      <c r="CO43" s="5"/>
      <c r="CP43" s="5"/>
      <c r="CQ43" s="5"/>
      <c r="CR43" s="5"/>
      <c r="CS43" s="5"/>
      <c r="CT43" s="5"/>
      <c r="CU43" s="5"/>
      <c r="CV43" s="5"/>
      <c r="CW43" s="5"/>
      <c r="CX43" s="5"/>
    </row>
    <row r="44" spans="3:102" x14ac:dyDescent="0.35">
      <c r="P44" s="5"/>
      <c r="Q44" s="5"/>
      <c r="R44" s="5"/>
      <c r="S44" s="5"/>
      <c r="T44" s="5"/>
      <c r="U44" s="5"/>
      <c r="V44" s="5"/>
      <c r="W44" s="5"/>
      <c r="X44" s="5"/>
      <c r="Y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S44" s="5"/>
      <c r="AT44" s="5"/>
      <c r="AU44" s="5"/>
      <c r="AV44" s="5"/>
      <c r="AW44" s="5"/>
      <c r="AX44" s="5"/>
      <c r="AY44" s="5"/>
      <c r="AZ44" s="5"/>
      <c r="BA44" s="5"/>
      <c r="BB44" s="31"/>
      <c r="BQ44" s="5"/>
      <c r="BR44" s="5"/>
      <c r="BS44" s="5"/>
      <c r="BT44" s="5"/>
      <c r="BU44" s="5"/>
      <c r="BV44" s="5"/>
      <c r="BW44" s="5"/>
      <c r="BX44" s="5"/>
      <c r="BY44" s="5"/>
      <c r="BZ44" s="5"/>
      <c r="CC44" s="5"/>
      <c r="CD44" s="5"/>
      <c r="CE44" s="5"/>
      <c r="CF44" s="5"/>
      <c r="CG44" s="5"/>
      <c r="CH44" s="5"/>
      <c r="CI44" s="5"/>
      <c r="CJ44" s="5"/>
      <c r="CK44" s="5"/>
      <c r="CL44" s="5"/>
      <c r="CO44" s="5"/>
      <c r="CP44" s="5"/>
      <c r="CQ44" s="5"/>
      <c r="CR44" s="5"/>
      <c r="CS44" s="5"/>
      <c r="CT44" s="5"/>
      <c r="CU44" s="5"/>
      <c r="CV44" s="5"/>
      <c r="CW44" s="5"/>
      <c r="CX44" s="5"/>
    </row>
    <row r="45" spans="3:102" x14ac:dyDescent="0.35">
      <c r="P45" s="5"/>
      <c r="Q45" s="5"/>
      <c r="R45" s="5"/>
      <c r="S45" s="5"/>
      <c r="T45" s="5"/>
      <c r="U45" s="5"/>
      <c r="V45" s="5"/>
      <c r="W45" s="5"/>
      <c r="X45" s="5"/>
      <c r="Y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S45" s="5"/>
      <c r="AT45" s="5"/>
      <c r="AU45" s="5"/>
      <c r="AV45" s="5"/>
      <c r="AW45" s="5"/>
      <c r="AX45" s="5"/>
      <c r="AY45" s="5"/>
      <c r="AZ45" s="5"/>
      <c r="BA45" s="5"/>
      <c r="BB45" s="31"/>
      <c r="BQ45" s="5"/>
      <c r="BR45" s="5"/>
      <c r="BS45" s="5"/>
      <c r="BT45" s="5"/>
      <c r="BU45" s="5"/>
      <c r="BV45" s="5"/>
      <c r="BW45" s="5"/>
      <c r="BX45" s="5"/>
      <c r="BY45" s="5"/>
      <c r="BZ45" s="5"/>
      <c r="CC45" s="5"/>
      <c r="CD45" s="5"/>
      <c r="CE45" s="5"/>
      <c r="CF45" s="5"/>
      <c r="CG45" s="5"/>
      <c r="CH45" s="5"/>
      <c r="CI45" s="5"/>
      <c r="CJ45" s="5"/>
      <c r="CK45" s="5"/>
      <c r="CL45" s="5"/>
      <c r="CO45" s="5"/>
      <c r="CP45" s="5"/>
      <c r="CQ45" s="5"/>
      <c r="CR45" s="5"/>
      <c r="CS45" s="5"/>
      <c r="CT45" s="5"/>
      <c r="CU45" s="5"/>
      <c r="CV45" s="5"/>
      <c r="CW45" s="5"/>
      <c r="CX45" s="5"/>
    </row>
    <row r="46" spans="3:102" x14ac:dyDescent="0.35">
      <c r="P46" s="5"/>
      <c r="Q46" s="5"/>
      <c r="R46" s="5"/>
      <c r="S46" s="5"/>
      <c r="T46" s="5"/>
      <c r="U46" s="5"/>
      <c r="V46" s="5"/>
      <c r="W46" s="5"/>
      <c r="X46" s="5"/>
      <c r="Y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S46" s="5"/>
      <c r="AT46" s="5"/>
      <c r="AU46" s="5"/>
      <c r="AV46" s="5"/>
      <c r="AW46" s="5"/>
      <c r="AX46" s="5"/>
      <c r="AY46" s="5"/>
      <c r="AZ46" s="5"/>
      <c r="BA46" s="5"/>
      <c r="BB46" s="31"/>
      <c r="BQ46" s="5"/>
      <c r="BR46" s="5"/>
      <c r="BS46" s="5"/>
      <c r="BT46" s="5"/>
      <c r="BU46" s="5"/>
      <c r="BV46" s="5"/>
      <c r="BW46" s="5"/>
      <c r="BX46" s="5"/>
      <c r="BY46" s="5"/>
      <c r="BZ46" s="5"/>
      <c r="CC46" s="5"/>
      <c r="CD46" s="5"/>
      <c r="CE46" s="5"/>
      <c r="CF46" s="5"/>
      <c r="CG46" s="5"/>
      <c r="CH46" s="5"/>
      <c r="CI46" s="5"/>
      <c r="CJ46" s="5"/>
      <c r="CK46" s="5"/>
      <c r="CL46" s="5"/>
      <c r="CO46" s="5"/>
      <c r="CP46" s="5"/>
      <c r="CQ46" s="5"/>
      <c r="CR46" s="5"/>
      <c r="CS46" s="5"/>
      <c r="CT46" s="5"/>
      <c r="CU46" s="5"/>
      <c r="CV46" s="5"/>
      <c r="CW46" s="5"/>
      <c r="CX46" s="5"/>
    </row>
    <row r="47" spans="3:102" x14ac:dyDescent="0.35">
      <c r="J47" s="1"/>
      <c r="P47" s="5"/>
      <c r="Q47" s="5"/>
      <c r="R47" s="5"/>
      <c r="S47" s="5"/>
      <c r="T47" s="5"/>
      <c r="U47" s="5"/>
      <c r="V47" s="5"/>
      <c r="W47" s="5"/>
      <c r="X47" s="5"/>
      <c r="Y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S47" s="5"/>
      <c r="AT47" s="5"/>
      <c r="AU47" s="5"/>
      <c r="AV47" s="5"/>
      <c r="AW47" s="5"/>
      <c r="AX47" s="5"/>
      <c r="AY47" s="5"/>
      <c r="AZ47" s="5"/>
      <c r="BA47" s="5"/>
      <c r="BB47" s="31"/>
      <c r="BQ47" s="5"/>
      <c r="BR47" s="5"/>
      <c r="BS47" s="5"/>
      <c r="BT47" s="5"/>
      <c r="BU47" s="5"/>
      <c r="BV47" s="5"/>
      <c r="BW47" s="5"/>
      <c r="BX47" s="5"/>
      <c r="BY47" s="5"/>
      <c r="BZ47" s="5"/>
      <c r="CC47" s="5"/>
      <c r="CD47" s="5"/>
      <c r="CE47" s="5"/>
      <c r="CF47" s="5"/>
      <c r="CG47" s="5"/>
      <c r="CH47" s="5"/>
      <c r="CI47" s="5"/>
      <c r="CJ47" s="5"/>
      <c r="CK47" s="5"/>
      <c r="CL47" s="5"/>
      <c r="CO47" s="5"/>
      <c r="CP47" s="5"/>
      <c r="CQ47" s="5"/>
      <c r="CR47" s="5"/>
      <c r="CS47" s="5"/>
      <c r="CT47" s="5"/>
      <c r="CU47" s="5"/>
      <c r="CV47" s="5"/>
      <c r="CW47" s="5"/>
      <c r="CX47" s="5"/>
    </row>
    <row r="48" spans="3:102" x14ac:dyDescent="0.35">
      <c r="P48" s="5"/>
      <c r="Q48" s="5"/>
      <c r="R48" s="5"/>
      <c r="S48" s="5"/>
      <c r="T48" s="5"/>
      <c r="U48" s="5"/>
      <c r="V48" s="5"/>
      <c r="W48" s="5"/>
      <c r="X48" s="5"/>
      <c r="Y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S48" s="5"/>
      <c r="AT48" s="5"/>
      <c r="AU48" s="5"/>
      <c r="AV48" s="5"/>
      <c r="AW48" s="5"/>
      <c r="AX48" s="5"/>
      <c r="AY48" s="5"/>
      <c r="AZ48" s="5"/>
      <c r="BA48" s="5"/>
      <c r="BB48" s="31"/>
      <c r="BQ48" s="5"/>
      <c r="BR48" s="5"/>
      <c r="BS48" s="5"/>
      <c r="BT48" s="5"/>
      <c r="BU48" s="5"/>
      <c r="BV48" s="5"/>
      <c r="BW48" s="5"/>
      <c r="BX48" s="5"/>
      <c r="BY48" s="5"/>
      <c r="BZ48" s="5"/>
      <c r="CC48" s="5"/>
      <c r="CD48" s="5"/>
      <c r="CE48" s="5"/>
      <c r="CF48" s="5"/>
      <c r="CG48" s="5"/>
      <c r="CH48" s="5"/>
      <c r="CI48" s="5"/>
      <c r="CJ48" s="5"/>
      <c r="CK48" s="5"/>
      <c r="CL48" s="5"/>
      <c r="CO48" s="5"/>
      <c r="CP48" s="5"/>
      <c r="CQ48" s="5"/>
      <c r="CR48" s="5"/>
      <c r="CS48" s="5"/>
      <c r="CT48" s="5"/>
      <c r="CU48" s="5"/>
      <c r="CV48" s="5"/>
      <c r="CW48" s="5"/>
      <c r="CX48" s="5"/>
    </row>
    <row r="49" spans="10:102" x14ac:dyDescent="0.35">
      <c r="J49" s="1"/>
      <c r="P49" s="5"/>
      <c r="Q49" s="5"/>
      <c r="R49" s="5"/>
      <c r="S49" s="5"/>
      <c r="T49" s="5"/>
      <c r="U49" s="5"/>
      <c r="V49" s="5"/>
      <c r="W49" s="5"/>
      <c r="X49" s="5"/>
      <c r="Y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S49" s="5"/>
      <c r="AT49" s="5"/>
      <c r="AU49" s="5"/>
      <c r="AV49" s="5"/>
      <c r="AW49" s="5"/>
      <c r="AX49" s="5"/>
      <c r="AY49" s="5"/>
      <c r="AZ49" s="5"/>
      <c r="BA49" s="5"/>
      <c r="BB49" s="31"/>
      <c r="BQ49" s="5"/>
      <c r="BR49" s="5"/>
      <c r="BS49" s="5"/>
      <c r="BT49" s="5"/>
      <c r="BU49" s="5"/>
      <c r="BV49" s="5"/>
      <c r="BW49" s="5"/>
      <c r="BX49" s="5"/>
      <c r="BY49" s="5"/>
      <c r="BZ49" s="5"/>
      <c r="CC49" s="5"/>
      <c r="CD49" s="5"/>
      <c r="CE49" s="5"/>
      <c r="CF49" s="5"/>
      <c r="CG49" s="5"/>
      <c r="CH49" s="5"/>
      <c r="CI49" s="5"/>
      <c r="CJ49" s="5"/>
      <c r="CK49" s="5"/>
      <c r="CL49" s="5"/>
      <c r="CO49" s="5"/>
      <c r="CP49" s="5"/>
      <c r="CQ49" s="5"/>
      <c r="CR49" s="5"/>
      <c r="CS49" s="5"/>
      <c r="CT49" s="5"/>
      <c r="CU49" s="5"/>
      <c r="CV49" s="5"/>
      <c r="CW49" s="5"/>
      <c r="CX49" s="5"/>
    </row>
    <row r="50" spans="10:102" x14ac:dyDescent="0.35">
      <c r="P50" s="5"/>
      <c r="Q50" s="5"/>
      <c r="R50" s="5"/>
      <c r="S50" s="5"/>
      <c r="T50" s="5"/>
      <c r="U50" s="5"/>
      <c r="V50" s="5"/>
      <c r="W50" s="5"/>
      <c r="X50" s="5"/>
      <c r="Y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S50" s="5"/>
      <c r="AT50" s="5"/>
      <c r="AU50" s="5"/>
      <c r="AV50" s="5"/>
      <c r="AW50" s="5"/>
      <c r="AX50" s="5"/>
      <c r="AY50" s="5"/>
      <c r="AZ50" s="5"/>
      <c r="BA50" s="5"/>
      <c r="BB50" s="31"/>
      <c r="BQ50" s="5"/>
      <c r="BR50" s="5"/>
      <c r="BS50" s="5"/>
      <c r="BT50" s="5"/>
      <c r="BU50" s="5"/>
      <c r="BV50" s="5"/>
      <c r="BW50" s="5"/>
      <c r="BX50" s="5"/>
      <c r="BY50" s="5"/>
      <c r="BZ50" s="5"/>
      <c r="CC50" s="5"/>
      <c r="CD50" s="5"/>
      <c r="CE50" s="5"/>
      <c r="CF50" s="5"/>
      <c r="CG50" s="5"/>
      <c r="CH50" s="5"/>
      <c r="CI50" s="5"/>
      <c r="CJ50" s="5"/>
      <c r="CK50" s="5"/>
      <c r="CL50" s="5"/>
      <c r="CO50" s="5"/>
      <c r="CP50" s="5"/>
      <c r="CQ50" s="5"/>
      <c r="CR50" s="5"/>
      <c r="CS50" s="5"/>
      <c r="CT50" s="5"/>
      <c r="CU50" s="5"/>
      <c r="CV50" s="5"/>
      <c r="CW50" s="5"/>
      <c r="CX50" s="5"/>
    </row>
    <row r="51" spans="10:102" x14ac:dyDescent="0.35">
      <c r="P51" s="5"/>
      <c r="Q51" s="5"/>
      <c r="R51" s="5"/>
      <c r="S51" s="5"/>
      <c r="T51" s="5"/>
      <c r="U51" s="5"/>
      <c r="V51" s="5"/>
      <c r="W51" s="5"/>
      <c r="X51" s="5"/>
      <c r="Y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S51" s="5"/>
      <c r="AT51" s="5"/>
      <c r="AU51" s="5"/>
      <c r="AV51" s="5"/>
      <c r="AW51" s="5"/>
      <c r="AX51" s="5"/>
      <c r="AY51" s="5"/>
      <c r="AZ51" s="5"/>
      <c r="BA51" s="5"/>
      <c r="BB51" s="31"/>
      <c r="BQ51" s="5"/>
      <c r="BR51" s="5"/>
      <c r="BS51" s="5"/>
      <c r="BT51" s="5"/>
      <c r="BU51" s="5"/>
      <c r="BV51" s="5"/>
      <c r="BW51" s="5"/>
      <c r="BX51" s="5"/>
      <c r="BY51" s="5"/>
      <c r="BZ51" s="5"/>
      <c r="CC51" s="5"/>
      <c r="CD51" s="5"/>
      <c r="CE51" s="5"/>
      <c r="CF51" s="5"/>
      <c r="CG51" s="5"/>
      <c r="CH51" s="5"/>
      <c r="CI51" s="5"/>
      <c r="CJ51" s="5"/>
      <c r="CK51" s="5"/>
      <c r="CL51" s="5"/>
      <c r="CO51" s="5"/>
      <c r="CP51" s="5"/>
      <c r="CQ51" s="5"/>
      <c r="CR51" s="5"/>
      <c r="CS51" s="5"/>
      <c r="CT51" s="5"/>
      <c r="CU51" s="5"/>
      <c r="CV51" s="5"/>
      <c r="CW51" s="5"/>
      <c r="CX51" s="5"/>
    </row>
    <row r="52" spans="10:102" x14ac:dyDescent="0.35">
      <c r="P52" s="5"/>
      <c r="Q52" s="5"/>
      <c r="R52" s="5"/>
      <c r="S52" s="5"/>
      <c r="T52" s="5"/>
      <c r="U52" s="5"/>
      <c r="V52" s="5"/>
      <c r="W52" s="5"/>
      <c r="X52" s="5"/>
      <c r="Y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S52" s="5"/>
      <c r="AT52" s="5"/>
      <c r="AU52" s="5"/>
      <c r="AV52" s="5"/>
      <c r="AW52" s="5"/>
      <c r="AX52" s="5"/>
      <c r="AY52" s="5"/>
      <c r="AZ52" s="5"/>
      <c r="BA52" s="5"/>
      <c r="BB52" s="31"/>
      <c r="BQ52" s="5"/>
      <c r="BR52" s="5"/>
      <c r="BS52" s="5"/>
      <c r="BT52" s="5"/>
      <c r="BU52" s="5"/>
      <c r="BV52" s="5"/>
      <c r="BW52" s="5"/>
      <c r="BX52" s="5"/>
      <c r="BY52" s="5"/>
      <c r="BZ52" s="5"/>
      <c r="CC52" s="5"/>
      <c r="CD52" s="5"/>
      <c r="CE52" s="5"/>
      <c r="CF52" s="5"/>
      <c r="CG52" s="5"/>
      <c r="CH52" s="5"/>
      <c r="CI52" s="5"/>
      <c r="CJ52" s="5"/>
      <c r="CK52" s="5"/>
      <c r="CL52" s="5"/>
      <c r="CO52" s="5"/>
      <c r="CP52" s="5"/>
      <c r="CQ52" s="5"/>
      <c r="CR52" s="5"/>
      <c r="CS52" s="5"/>
      <c r="CT52" s="5"/>
      <c r="CU52" s="5"/>
      <c r="CV52" s="5"/>
      <c r="CW52" s="5"/>
      <c r="CX52" s="5"/>
    </row>
    <row r="53" spans="10:102" x14ac:dyDescent="0.35">
      <c r="AG53" s="5"/>
      <c r="AH53" s="5"/>
      <c r="AI53" s="5"/>
      <c r="AJ53" s="5"/>
      <c r="AK53" s="5"/>
      <c r="AL53" s="5"/>
      <c r="AM53" s="5"/>
      <c r="AN53" s="5"/>
      <c r="AO53" s="5"/>
      <c r="AP53" s="5"/>
      <c r="AS53" s="5"/>
      <c r="AT53" s="5"/>
      <c r="AU53" s="5"/>
      <c r="AV53" s="5"/>
      <c r="AW53" s="5"/>
      <c r="AX53" s="5"/>
      <c r="AY53" s="5"/>
      <c r="AZ53" s="5"/>
      <c r="BA53" s="5"/>
      <c r="BB53" s="31"/>
    </row>
    <row r="55" spans="10:102" x14ac:dyDescent="0.35">
      <c r="AG55" s="25"/>
      <c r="AH55" s="25"/>
      <c r="AI55" s="25"/>
      <c r="AJ55" s="25"/>
      <c r="AK55" s="25"/>
      <c r="AL55" s="25"/>
      <c r="AM55" s="25"/>
      <c r="AN55" s="25"/>
      <c r="AO55" s="25"/>
      <c r="AP55" s="25"/>
    </row>
    <row r="57" spans="10:102" x14ac:dyDescent="0.35">
      <c r="AG57" s="5"/>
      <c r="AH57" s="5"/>
      <c r="AI57" s="5"/>
      <c r="AJ57" s="5"/>
      <c r="AK57" s="5"/>
      <c r="AL57" s="5"/>
      <c r="AM57" s="5"/>
      <c r="AN57" s="5"/>
      <c r="AO57" s="5"/>
      <c r="AP57" s="5"/>
    </row>
    <row r="58" spans="10:102" x14ac:dyDescent="0.35">
      <c r="AG58" s="5"/>
      <c r="AH58" s="5"/>
      <c r="AI58" s="5"/>
      <c r="AJ58" s="5"/>
      <c r="AK58" s="5"/>
      <c r="AL58" s="5"/>
      <c r="AM58" s="5"/>
      <c r="AN58" s="5"/>
      <c r="AO58" s="5"/>
      <c r="AP58" s="5"/>
    </row>
    <row r="59" spans="10:102" x14ac:dyDescent="0.35">
      <c r="AG59" s="5"/>
      <c r="AH59" s="5"/>
      <c r="AI59" s="5"/>
      <c r="AJ59" s="5"/>
      <c r="AK59" s="5"/>
      <c r="AL59" s="5"/>
      <c r="AM59" s="5"/>
      <c r="AN59" s="5"/>
      <c r="AO59" s="5"/>
      <c r="AP59" s="5"/>
    </row>
    <row r="60" spans="10:102" x14ac:dyDescent="0.35">
      <c r="AG60" s="5"/>
      <c r="AH60" s="5"/>
      <c r="AI60" s="5"/>
      <c r="AJ60" s="5"/>
      <c r="AK60" s="5"/>
      <c r="AL60" s="5"/>
      <c r="AM60" s="5"/>
      <c r="AN60" s="5"/>
      <c r="AO60" s="5"/>
      <c r="AP60" s="5"/>
    </row>
    <row r="61" spans="10:102" x14ac:dyDescent="0.35">
      <c r="AG61" s="5"/>
      <c r="AH61" s="5"/>
      <c r="AI61" s="5"/>
      <c r="AJ61" s="5"/>
      <c r="AK61" s="5"/>
      <c r="AL61" s="5"/>
      <c r="AM61" s="5"/>
      <c r="AN61" s="5"/>
      <c r="AO61" s="5"/>
      <c r="AP61" s="5"/>
    </row>
    <row r="62" spans="10:102" x14ac:dyDescent="0.35">
      <c r="AG62" s="5"/>
      <c r="AH62" s="5"/>
      <c r="AI62" s="5"/>
      <c r="AJ62" s="5"/>
      <c r="AK62" s="5"/>
      <c r="AL62" s="5"/>
      <c r="AM62" s="5"/>
      <c r="AN62" s="5"/>
      <c r="AO62" s="5"/>
      <c r="AP62" s="5"/>
    </row>
    <row r="63" spans="10:102" x14ac:dyDescent="0.35">
      <c r="AG63" s="5"/>
      <c r="AH63" s="5"/>
      <c r="AI63" s="5"/>
      <c r="AJ63" s="5"/>
      <c r="AK63" s="5"/>
      <c r="AL63" s="5"/>
      <c r="AM63" s="5"/>
      <c r="AN63" s="5"/>
      <c r="AO63" s="5"/>
      <c r="AP63" s="5"/>
    </row>
    <row r="64" spans="10:102" x14ac:dyDescent="0.35">
      <c r="AG64" s="5"/>
      <c r="AH64" s="5"/>
      <c r="AI64" s="5"/>
      <c r="AJ64" s="5"/>
      <c r="AK64" s="5"/>
      <c r="AL64" s="5"/>
      <c r="AM64" s="5"/>
      <c r="AN64" s="5"/>
      <c r="AO64" s="5"/>
      <c r="AP64" s="5"/>
    </row>
    <row r="65" spans="33:42" x14ac:dyDescent="0.35">
      <c r="AG65" s="5"/>
      <c r="AH65" s="5"/>
      <c r="AI65" s="5"/>
      <c r="AJ65" s="5"/>
      <c r="AK65" s="5"/>
      <c r="AL65" s="5"/>
      <c r="AM65" s="5"/>
      <c r="AN65" s="5"/>
      <c r="AO65" s="5"/>
      <c r="AP65" s="5"/>
    </row>
    <row r="66" spans="33:42" x14ac:dyDescent="0.35">
      <c r="AG66" s="5"/>
      <c r="AH66" s="5"/>
      <c r="AI66" s="5"/>
      <c r="AJ66" s="5"/>
      <c r="AK66" s="5"/>
      <c r="AL66" s="5"/>
      <c r="AM66" s="5"/>
      <c r="AN66" s="5"/>
      <c r="AO66" s="5"/>
      <c r="AP66" s="5"/>
    </row>
    <row r="67" spans="33:42" x14ac:dyDescent="0.35">
      <c r="AG67" s="5"/>
      <c r="AH67" s="5"/>
      <c r="AI67" s="5"/>
      <c r="AJ67" s="5"/>
      <c r="AK67" s="5"/>
      <c r="AL67" s="5"/>
      <c r="AM67" s="5"/>
      <c r="AN67" s="5"/>
      <c r="AO67" s="5"/>
      <c r="AP67" s="5"/>
    </row>
    <row r="68" spans="33:42" x14ac:dyDescent="0.35">
      <c r="AG68" s="5"/>
      <c r="AH68" s="5"/>
      <c r="AI68" s="5"/>
      <c r="AJ68" s="5"/>
      <c r="AK68" s="5"/>
      <c r="AL68" s="5"/>
      <c r="AM68" s="5"/>
      <c r="AN68" s="5"/>
      <c r="AO68" s="5"/>
      <c r="AP68" s="5"/>
    </row>
    <row r="69" spans="33:42" x14ac:dyDescent="0.35">
      <c r="AG69" s="5"/>
      <c r="AH69" s="5"/>
      <c r="AI69" s="5"/>
      <c r="AJ69" s="5"/>
      <c r="AK69" s="5"/>
      <c r="AL69" s="5"/>
      <c r="AM69" s="5"/>
      <c r="AN69" s="5"/>
      <c r="AO69" s="5"/>
      <c r="AP69" s="5"/>
    </row>
    <row r="70" spans="33:42" x14ac:dyDescent="0.35">
      <c r="AG70" s="5"/>
      <c r="AH70" s="5"/>
      <c r="AI70" s="5"/>
      <c r="AJ70" s="5"/>
      <c r="AK70" s="5"/>
      <c r="AL70" s="5"/>
      <c r="AM70" s="5"/>
      <c r="AN70" s="5"/>
      <c r="AO70" s="5"/>
      <c r="AP70" s="5"/>
    </row>
    <row r="71" spans="33:42" x14ac:dyDescent="0.35">
      <c r="AG71" s="5"/>
      <c r="AH71" s="5"/>
      <c r="AI71" s="5"/>
      <c r="AJ71" s="5"/>
      <c r="AK71" s="5"/>
      <c r="AL71" s="5"/>
      <c r="AM71" s="5"/>
      <c r="AN71" s="5"/>
      <c r="AO71" s="5"/>
      <c r="AP71" s="5"/>
    </row>
    <row r="72" spans="33:42" x14ac:dyDescent="0.35">
      <c r="AG72" s="5"/>
      <c r="AH72" s="5"/>
      <c r="AI72" s="5"/>
      <c r="AJ72" s="5"/>
      <c r="AK72" s="5"/>
      <c r="AL72" s="5"/>
      <c r="AM72" s="5"/>
      <c r="AN72" s="5"/>
      <c r="AO72" s="5"/>
      <c r="AP72" s="5"/>
    </row>
    <row r="73" spans="33:42" x14ac:dyDescent="0.35">
      <c r="AG73" s="5"/>
      <c r="AH73" s="5"/>
      <c r="AI73" s="5"/>
      <c r="AJ73" s="5"/>
      <c r="AK73" s="5"/>
      <c r="AL73" s="5"/>
      <c r="AM73" s="5"/>
      <c r="AN73" s="5"/>
      <c r="AO73" s="5"/>
      <c r="AP73" s="5"/>
    </row>
    <row r="74" spans="33:42" x14ac:dyDescent="0.35">
      <c r="AG74" s="5"/>
      <c r="AH74" s="5"/>
      <c r="AI74" s="5"/>
      <c r="AJ74" s="5"/>
      <c r="AK74" s="5"/>
      <c r="AL74" s="5"/>
      <c r="AM74" s="5"/>
      <c r="AN74" s="5"/>
      <c r="AO74" s="5"/>
      <c r="AP74" s="5"/>
    </row>
    <row r="75" spans="33:42" x14ac:dyDescent="0.35">
      <c r="AG75" s="5"/>
      <c r="AH75" s="5"/>
      <c r="AI75" s="5"/>
      <c r="AJ75" s="5"/>
      <c r="AK75" s="5"/>
      <c r="AL75" s="5"/>
      <c r="AM75" s="5"/>
      <c r="AN75" s="5"/>
      <c r="AO75" s="5"/>
      <c r="AP75" s="5"/>
    </row>
    <row r="76" spans="33:42" x14ac:dyDescent="0.35">
      <c r="AG76" s="5"/>
      <c r="AH76" s="5"/>
      <c r="AI76" s="5"/>
      <c r="AJ76" s="5"/>
      <c r="AK76" s="5"/>
      <c r="AL76" s="5"/>
      <c r="AM76" s="5"/>
      <c r="AN76" s="5"/>
      <c r="AO76" s="5"/>
      <c r="AP76" s="5"/>
    </row>
  </sheetData>
  <mergeCells count="12">
    <mergeCell ref="AG32:AP32"/>
    <mergeCell ref="AG55:AP55"/>
    <mergeCell ref="Z1:Z2"/>
    <mergeCell ref="BM1:BW1"/>
    <mergeCell ref="BA10:BK10"/>
    <mergeCell ref="BA19:BK19"/>
    <mergeCell ref="BA28:BK28"/>
    <mergeCell ref="O1:Y1"/>
    <mergeCell ref="AF1:AP1"/>
    <mergeCell ref="A1:M1"/>
    <mergeCell ref="AF9:AP9"/>
    <mergeCell ref="BA1:BK1"/>
  </mergeCells>
  <phoneticPr fontId="19" type="noConversion"/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DC2D2-C860-49FA-B9A3-0B451B4B6124}">
  <dimension ref="A1:N21"/>
  <sheetViews>
    <sheetView zoomScale="60" zoomScaleNormal="60" workbookViewId="0">
      <selection activeCell="G2" sqref="G2"/>
    </sheetView>
  </sheetViews>
  <sheetFormatPr defaultRowHeight="14.5" x14ac:dyDescent="0.35"/>
  <cols>
    <col min="2" max="2" width="14.7265625" customWidth="1"/>
    <col min="3" max="3" width="32.1796875" customWidth="1"/>
    <col min="10" max="10" width="12.81640625" customWidth="1"/>
  </cols>
  <sheetData>
    <row r="1" spans="1:14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57</v>
      </c>
    </row>
    <row r="2" spans="1:14" x14ac:dyDescent="0.35">
      <c r="A2" s="11">
        <v>1</v>
      </c>
      <c r="B2" s="11" t="s">
        <v>13</v>
      </c>
      <c r="C2" s="11" t="s">
        <v>14</v>
      </c>
      <c r="D2" s="11">
        <v>0.56100000000000005</v>
      </c>
      <c r="E2" s="11">
        <v>0.43099999999999999</v>
      </c>
      <c r="F2" s="11">
        <v>10</v>
      </c>
      <c r="G2" s="11">
        <v>-8.81</v>
      </c>
      <c r="H2" s="11">
        <v>5.7799999999999997E-2</v>
      </c>
      <c r="I2" s="11">
        <v>0.76800000000000002</v>
      </c>
      <c r="J2" s="12">
        <v>1.42E-5</v>
      </c>
      <c r="K2" s="11">
        <v>0.106</v>
      </c>
      <c r="L2" s="11">
        <v>0.13700000000000001</v>
      </c>
      <c r="M2" s="11">
        <v>143.875</v>
      </c>
      <c r="N2" s="13">
        <v>1</v>
      </c>
    </row>
    <row r="3" spans="1:14" x14ac:dyDescent="0.35">
      <c r="A3" s="11">
        <v>9</v>
      </c>
      <c r="B3" s="11" t="s">
        <v>28</v>
      </c>
      <c r="C3" s="11" t="s">
        <v>29</v>
      </c>
      <c r="D3" s="11">
        <v>0.76100000000000001</v>
      </c>
      <c r="E3" s="11">
        <v>0.52500000000000002</v>
      </c>
      <c r="F3" s="11">
        <v>11</v>
      </c>
      <c r="G3" s="11">
        <v>-6.9</v>
      </c>
      <c r="H3" s="11">
        <v>9.4399999999999998E-2</v>
      </c>
      <c r="I3" s="11">
        <v>0.44</v>
      </c>
      <c r="J3" s="12">
        <v>6.7000000000000002E-6</v>
      </c>
      <c r="K3" s="11">
        <v>9.2100000000000001E-2</v>
      </c>
      <c r="L3" s="11">
        <v>0.53100000000000003</v>
      </c>
      <c r="M3" s="11">
        <v>80.87</v>
      </c>
      <c r="N3" s="13">
        <v>1</v>
      </c>
    </row>
    <row r="4" spans="1:14" x14ac:dyDescent="0.35">
      <c r="A4" s="11">
        <v>12</v>
      </c>
      <c r="B4" s="11" t="s">
        <v>34</v>
      </c>
      <c r="C4" s="11" t="s">
        <v>35</v>
      </c>
      <c r="D4" s="11">
        <v>0.73099999999999998</v>
      </c>
      <c r="E4" s="11">
        <v>0.57299999999999995</v>
      </c>
      <c r="F4" s="11">
        <v>4</v>
      </c>
      <c r="G4" s="11">
        <v>-10.058999999999999</v>
      </c>
      <c r="H4" s="11">
        <v>5.4399999999999997E-2</v>
      </c>
      <c r="I4" s="11">
        <v>0.40100000000000002</v>
      </c>
      <c r="J4" s="12">
        <v>5.2200000000000002E-5</v>
      </c>
      <c r="K4" s="11">
        <v>0.113</v>
      </c>
      <c r="L4" s="11">
        <v>0.14499999999999999</v>
      </c>
      <c r="M4" s="11">
        <v>109.928</v>
      </c>
      <c r="N4" s="13">
        <v>1</v>
      </c>
    </row>
    <row r="5" spans="1:14" x14ac:dyDescent="0.35">
      <c r="A5" s="14">
        <v>2</v>
      </c>
      <c r="B5" s="14" t="s">
        <v>15</v>
      </c>
      <c r="C5" s="14" t="s">
        <v>16</v>
      </c>
      <c r="D5" s="14">
        <v>0.59299999999999997</v>
      </c>
      <c r="E5" s="14">
        <v>0.503</v>
      </c>
      <c r="F5" s="14">
        <v>8</v>
      </c>
      <c r="G5" s="14">
        <v>-6.7249999999999996</v>
      </c>
      <c r="H5" s="14">
        <v>0.22</v>
      </c>
      <c r="I5" s="14">
        <v>0.29299999999999998</v>
      </c>
      <c r="J5" s="15">
        <v>0</v>
      </c>
      <c r="K5" s="14">
        <v>0.40500000000000003</v>
      </c>
      <c r="L5" s="14">
        <v>0.71</v>
      </c>
      <c r="M5" s="14">
        <v>178.78100000000001</v>
      </c>
      <c r="N5" s="16">
        <v>2</v>
      </c>
    </row>
    <row r="6" spans="1:14" x14ac:dyDescent="0.35">
      <c r="A6" s="14">
        <v>4</v>
      </c>
      <c r="B6" s="14" t="s">
        <v>13</v>
      </c>
      <c r="C6" s="14" t="s">
        <v>19</v>
      </c>
      <c r="D6" s="14">
        <v>0.56299999999999994</v>
      </c>
      <c r="E6" s="14">
        <v>0.66400000000000003</v>
      </c>
      <c r="F6" s="14">
        <v>9</v>
      </c>
      <c r="G6" s="14">
        <v>-5.0439999999999996</v>
      </c>
      <c r="H6" s="14">
        <v>0.154</v>
      </c>
      <c r="I6" s="14">
        <v>0.33500000000000002</v>
      </c>
      <c r="J6" s="15">
        <v>0</v>
      </c>
      <c r="K6" s="14">
        <v>8.4900000000000003E-2</v>
      </c>
      <c r="L6" s="14">
        <v>0.68799999999999994</v>
      </c>
      <c r="M6" s="14">
        <v>166.928</v>
      </c>
      <c r="N6" s="16">
        <v>2</v>
      </c>
    </row>
    <row r="7" spans="1:14" x14ac:dyDescent="0.35">
      <c r="A7" s="14">
        <v>6</v>
      </c>
      <c r="B7" s="14" t="s">
        <v>22</v>
      </c>
      <c r="C7" s="14" t="s">
        <v>23</v>
      </c>
      <c r="D7" s="14">
        <v>0.67700000000000005</v>
      </c>
      <c r="E7" s="14">
        <v>0.69599999999999995</v>
      </c>
      <c r="F7" s="14">
        <v>0</v>
      </c>
      <c r="G7" s="14">
        <v>-6.181</v>
      </c>
      <c r="H7" s="14">
        <v>0.11899999999999999</v>
      </c>
      <c r="I7" s="14">
        <v>0.32100000000000001</v>
      </c>
      <c r="J7" s="15">
        <v>0</v>
      </c>
      <c r="K7" s="14">
        <v>0.42</v>
      </c>
      <c r="L7" s="14">
        <v>0.46400000000000002</v>
      </c>
      <c r="M7" s="14">
        <v>90.03</v>
      </c>
      <c r="N7" s="16">
        <v>2</v>
      </c>
    </row>
    <row r="8" spans="1:14" x14ac:dyDescent="0.35">
      <c r="A8" s="14">
        <v>18</v>
      </c>
      <c r="B8" s="14" t="s">
        <v>13</v>
      </c>
      <c r="C8" s="14" t="s">
        <v>44</v>
      </c>
      <c r="D8" s="14">
        <v>0.442</v>
      </c>
      <c r="E8" s="14">
        <v>0.61199999999999999</v>
      </c>
      <c r="F8" s="14">
        <v>2</v>
      </c>
      <c r="G8" s="14">
        <v>-7.2220000000000004</v>
      </c>
      <c r="H8" s="14">
        <v>0.112</v>
      </c>
      <c r="I8" s="14">
        <v>0.58399999999999996</v>
      </c>
      <c r="J8" s="15">
        <v>5.6999999999999996E-6</v>
      </c>
      <c r="K8" s="14">
        <v>0.37</v>
      </c>
      <c r="L8" s="14">
        <v>0.17799999999999999</v>
      </c>
      <c r="M8" s="14">
        <v>180.917</v>
      </c>
      <c r="N8" s="16">
        <v>2</v>
      </c>
    </row>
    <row r="9" spans="1:14" x14ac:dyDescent="0.35">
      <c r="A9" s="8">
        <v>3</v>
      </c>
      <c r="B9" s="8" t="s">
        <v>17</v>
      </c>
      <c r="C9" s="8" t="s">
        <v>18</v>
      </c>
      <c r="D9" s="8">
        <v>0.59099999999999997</v>
      </c>
      <c r="E9" s="8">
        <v>0.76400000000000001</v>
      </c>
      <c r="F9" s="8">
        <v>1</v>
      </c>
      <c r="G9" s="8">
        <v>-5.484</v>
      </c>
      <c r="H9" s="8">
        <v>4.8300000000000003E-2</v>
      </c>
      <c r="I9" s="8">
        <v>3.8300000000000001E-2</v>
      </c>
      <c r="J9" s="9">
        <v>0</v>
      </c>
      <c r="K9" s="8">
        <v>0.10299999999999999</v>
      </c>
      <c r="L9" s="8">
        <v>0.47799999999999998</v>
      </c>
      <c r="M9" s="8">
        <v>169.928</v>
      </c>
      <c r="N9" s="10">
        <v>3</v>
      </c>
    </row>
    <row r="10" spans="1:14" x14ac:dyDescent="0.35">
      <c r="A10" s="8">
        <v>5</v>
      </c>
      <c r="B10" s="8" t="s">
        <v>20</v>
      </c>
      <c r="C10" s="8" t="s">
        <v>21</v>
      </c>
      <c r="D10" s="8">
        <v>0.70199999999999996</v>
      </c>
      <c r="E10" s="8">
        <v>0.82499999999999996</v>
      </c>
      <c r="F10" s="8">
        <v>6</v>
      </c>
      <c r="G10" s="8">
        <v>-3.7869999999999999</v>
      </c>
      <c r="H10" s="8">
        <v>6.0100000000000001E-2</v>
      </c>
      <c r="I10" s="8">
        <v>8.8299999999999993E-3</v>
      </c>
      <c r="J10" s="9">
        <v>0</v>
      </c>
      <c r="K10" s="8">
        <v>6.7400000000000002E-2</v>
      </c>
      <c r="L10" s="8">
        <v>0.91500000000000004</v>
      </c>
      <c r="M10" s="8">
        <v>102.977</v>
      </c>
      <c r="N10" s="10">
        <v>3</v>
      </c>
    </row>
    <row r="11" spans="1:14" x14ac:dyDescent="0.35">
      <c r="A11" s="8">
        <v>7</v>
      </c>
      <c r="B11" s="8" t="s">
        <v>24</v>
      </c>
      <c r="C11" s="8" t="s">
        <v>25</v>
      </c>
      <c r="D11" s="8">
        <v>0.76400000000000001</v>
      </c>
      <c r="E11" s="8">
        <v>0.70499999999999996</v>
      </c>
      <c r="F11" s="8">
        <v>8</v>
      </c>
      <c r="G11" s="8">
        <v>-3.4630000000000001</v>
      </c>
      <c r="H11" s="8">
        <v>2.8400000000000002E-2</v>
      </c>
      <c r="I11" s="8">
        <v>0.25900000000000001</v>
      </c>
      <c r="J11" s="9">
        <v>8.92E-5</v>
      </c>
      <c r="K11" s="8">
        <v>0.12</v>
      </c>
      <c r="L11" s="8">
        <v>0.78100000000000003</v>
      </c>
      <c r="M11" s="8">
        <v>110.97</v>
      </c>
      <c r="N11" s="10">
        <v>3</v>
      </c>
    </row>
    <row r="12" spans="1:14" x14ac:dyDescent="0.35">
      <c r="A12" s="8">
        <v>8</v>
      </c>
      <c r="B12" s="8" t="s">
        <v>26</v>
      </c>
      <c r="C12" s="8" t="s">
        <v>27</v>
      </c>
      <c r="D12" s="8">
        <v>0.51400000000000001</v>
      </c>
      <c r="E12" s="8">
        <v>0.73</v>
      </c>
      <c r="F12" s="8">
        <v>1</v>
      </c>
      <c r="G12" s="8">
        <v>-5.9340000000000002</v>
      </c>
      <c r="H12" s="8">
        <v>5.9799999999999999E-2</v>
      </c>
      <c r="I12" s="8">
        <v>1.4599999999999999E-3</v>
      </c>
      <c r="J12" s="9">
        <v>9.5400000000000001E-5</v>
      </c>
      <c r="K12" s="8">
        <v>8.9700000000000002E-2</v>
      </c>
      <c r="L12" s="8">
        <v>0.33400000000000002</v>
      </c>
      <c r="M12" s="8">
        <v>171.005</v>
      </c>
      <c r="N12" s="10">
        <v>3</v>
      </c>
    </row>
    <row r="13" spans="1:14" x14ac:dyDescent="0.35">
      <c r="A13" s="8">
        <v>10</v>
      </c>
      <c r="B13" s="8" t="s">
        <v>30</v>
      </c>
      <c r="C13" s="8" t="s">
        <v>31</v>
      </c>
      <c r="D13" s="8">
        <v>0.71399999999999997</v>
      </c>
      <c r="E13" s="8">
        <v>0.8</v>
      </c>
      <c r="F13" s="8">
        <v>11</v>
      </c>
      <c r="G13" s="8">
        <v>-4.8079999999999998</v>
      </c>
      <c r="H13" s="8">
        <v>5.04E-2</v>
      </c>
      <c r="I13" s="8">
        <v>0.127</v>
      </c>
      <c r="J13" s="9">
        <v>0</v>
      </c>
      <c r="K13" s="8">
        <v>0.35899999999999999</v>
      </c>
      <c r="L13" s="8">
        <v>0.58899999999999997</v>
      </c>
      <c r="M13" s="8">
        <v>134.00200000000001</v>
      </c>
      <c r="N13" s="10">
        <v>3</v>
      </c>
    </row>
    <row r="14" spans="1:14" x14ac:dyDescent="0.35">
      <c r="A14" s="8">
        <v>14</v>
      </c>
      <c r="B14" s="8" t="s">
        <v>37</v>
      </c>
      <c r="C14" s="8" t="s">
        <v>38</v>
      </c>
      <c r="D14" s="8">
        <v>0.80700000000000005</v>
      </c>
      <c r="E14" s="8">
        <v>0.89300000000000002</v>
      </c>
      <c r="F14" s="8">
        <v>11</v>
      </c>
      <c r="G14" s="8">
        <v>-3.7450000000000001</v>
      </c>
      <c r="H14" s="8">
        <v>3.4700000000000002E-2</v>
      </c>
      <c r="I14" s="8">
        <v>4.5100000000000001E-2</v>
      </c>
      <c r="J14" s="9">
        <v>2.7900000000000001E-5</v>
      </c>
      <c r="K14" s="8">
        <v>0.36599999999999999</v>
      </c>
      <c r="L14" s="8">
        <v>0.53700000000000003</v>
      </c>
      <c r="M14" s="8">
        <v>126.011</v>
      </c>
      <c r="N14" s="10">
        <v>3</v>
      </c>
    </row>
    <row r="15" spans="1:14" x14ac:dyDescent="0.35">
      <c r="A15" s="8">
        <v>15</v>
      </c>
      <c r="B15" s="8" t="s">
        <v>26</v>
      </c>
      <c r="C15" s="8" t="s">
        <v>39</v>
      </c>
      <c r="D15" s="8">
        <v>0.68</v>
      </c>
      <c r="E15" s="8">
        <v>0.82599999999999996</v>
      </c>
      <c r="F15" s="8">
        <v>0</v>
      </c>
      <c r="G15" s="8">
        <v>-5.4870000000000001</v>
      </c>
      <c r="H15" s="8">
        <v>3.09E-2</v>
      </c>
      <c r="I15" s="8">
        <v>2.12E-2</v>
      </c>
      <c r="J15" s="9">
        <v>1.24E-5</v>
      </c>
      <c r="K15" s="8">
        <v>0.54300000000000004</v>
      </c>
      <c r="L15" s="8">
        <v>0.64400000000000002</v>
      </c>
      <c r="M15" s="8">
        <v>118.051</v>
      </c>
      <c r="N15" s="10">
        <v>3</v>
      </c>
    </row>
    <row r="16" spans="1:14" x14ac:dyDescent="0.35">
      <c r="A16" s="8">
        <v>19</v>
      </c>
      <c r="B16" s="8" t="s">
        <v>45</v>
      </c>
      <c r="C16" s="8" t="s">
        <v>46</v>
      </c>
      <c r="D16" s="8">
        <v>0.78</v>
      </c>
      <c r="E16" s="8">
        <v>0.71899999999999997</v>
      </c>
      <c r="F16" s="8">
        <v>3</v>
      </c>
      <c r="G16" s="8">
        <v>-3.613</v>
      </c>
      <c r="H16" s="8">
        <v>5.0599999999999999E-2</v>
      </c>
      <c r="I16" s="8">
        <v>0.30199999999999999</v>
      </c>
      <c r="J16" s="9">
        <v>1.9599999999999999E-4</v>
      </c>
      <c r="K16" s="8">
        <v>9.3100000000000002E-2</v>
      </c>
      <c r="L16" s="8">
        <v>0.33600000000000002</v>
      </c>
      <c r="M16" s="8">
        <v>127.962</v>
      </c>
      <c r="N16" s="10">
        <v>3</v>
      </c>
    </row>
    <row r="17" spans="1:14" x14ac:dyDescent="0.35">
      <c r="A17" s="8">
        <v>20</v>
      </c>
      <c r="B17" s="8" t="s">
        <v>47</v>
      </c>
      <c r="C17" s="8" t="s">
        <v>48</v>
      </c>
      <c r="D17" s="8">
        <v>0.70099999999999996</v>
      </c>
      <c r="E17" s="8">
        <v>0.71599999999999997</v>
      </c>
      <c r="F17" s="8">
        <v>7</v>
      </c>
      <c r="G17" s="8">
        <v>-3.6709999999999998</v>
      </c>
      <c r="H17" s="8">
        <v>3.61E-2</v>
      </c>
      <c r="I17" s="8">
        <v>0.17399999999999999</v>
      </c>
      <c r="J17" s="9">
        <v>0</v>
      </c>
      <c r="K17" s="8">
        <v>0.32400000000000001</v>
      </c>
      <c r="L17" s="8">
        <v>0.73199999999999998</v>
      </c>
      <c r="M17" s="8">
        <v>91.007000000000005</v>
      </c>
      <c r="N17" s="10">
        <v>3</v>
      </c>
    </row>
    <row r="18" spans="1:14" x14ac:dyDescent="0.35">
      <c r="A18" s="17">
        <v>11</v>
      </c>
      <c r="B18" s="17" t="s">
        <v>32</v>
      </c>
      <c r="C18" s="17" t="s">
        <v>33</v>
      </c>
      <c r="D18" s="17">
        <v>0.77800000000000002</v>
      </c>
      <c r="E18" s="17">
        <v>0.69499999999999995</v>
      </c>
      <c r="F18" s="17">
        <v>4</v>
      </c>
      <c r="G18" s="17">
        <v>-6.8650000000000002</v>
      </c>
      <c r="H18" s="17">
        <v>9.1300000000000006E-2</v>
      </c>
      <c r="I18" s="17">
        <v>0.17499999999999999</v>
      </c>
      <c r="J18" s="18">
        <v>0</v>
      </c>
      <c r="K18" s="17">
        <v>0.15</v>
      </c>
      <c r="L18" s="17">
        <v>0.47199999999999998</v>
      </c>
      <c r="M18" s="17">
        <v>149.99600000000001</v>
      </c>
      <c r="N18" s="19">
        <v>4</v>
      </c>
    </row>
    <row r="19" spans="1:14" x14ac:dyDescent="0.35">
      <c r="A19" s="17">
        <v>13</v>
      </c>
      <c r="B19" s="17" t="s">
        <v>15</v>
      </c>
      <c r="C19" s="17" t="s">
        <v>36</v>
      </c>
      <c r="D19" s="17">
        <v>0.74099999999999999</v>
      </c>
      <c r="E19" s="17">
        <v>0.69099999999999995</v>
      </c>
      <c r="F19" s="17">
        <v>10</v>
      </c>
      <c r="G19" s="17">
        <v>-7.3949999999999996</v>
      </c>
      <c r="H19" s="17">
        <v>6.7199999999999996E-2</v>
      </c>
      <c r="I19" s="17">
        <v>2.2100000000000002E-2</v>
      </c>
      <c r="J19" s="18">
        <v>0</v>
      </c>
      <c r="K19" s="17">
        <v>4.7600000000000003E-2</v>
      </c>
      <c r="L19" s="17">
        <v>0.89200000000000002</v>
      </c>
      <c r="M19" s="17">
        <v>150.08699999999999</v>
      </c>
      <c r="N19" s="19">
        <v>4</v>
      </c>
    </row>
    <row r="20" spans="1:14" x14ac:dyDescent="0.35">
      <c r="A20" s="17">
        <v>16</v>
      </c>
      <c r="B20" s="17" t="s">
        <v>40</v>
      </c>
      <c r="C20" s="17" t="s">
        <v>41</v>
      </c>
      <c r="D20" s="17">
        <v>0.75900000000000001</v>
      </c>
      <c r="E20" s="17">
        <v>0.45900000000000002</v>
      </c>
      <c r="F20" s="17">
        <v>8</v>
      </c>
      <c r="G20" s="17">
        <v>-5.1870000000000003</v>
      </c>
      <c r="H20" s="17">
        <v>9.4799999999999995E-2</v>
      </c>
      <c r="I20" s="17">
        <v>3.2299999999999998E-3</v>
      </c>
      <c r="J20" s="18">
        <v>0</v>
      </c>
      <c r="K20" s="17">
        <v>9.06E-2</v>
      </c>
      <c r="L20" s="17">
        <v>0.69499999999999995</v>
      </c>
      <c r="M20" s="17">
        <v>109.997</v>
      </c>
      <c r="N20" s="19">
        <v>4</v>
      </c>
    </row>
    <row r="21" spans="1:14" x14ac:dyDescent="0.35">
      <c r="A21" s="17">
        <v>17</v>
      </c>
      <c r="B21" s="17" t="s">
        <v>42</v>
      </c>
      <c r="C21" s="17" t="s">
        <v>43</v>
      </c>
      <c r="D21" s="17">
        <v>0.58599999999999997</v>
      </c>
      <c r="E21" s="17">
        <v>0.61599999999999999</v>
      </c>
      <c r="F21" s="17">
        <v>5</v>
      </c>
      <c r="G21" s="17">
        <v>-7.9640000000000004</v>
      </c>
      <c r="H21" s="17">
        <v>3.2399999999999998E-2</v>
      </c>
      <c r="I21" s="17">
        <v>0.182</v>
      </c>
      <c r="J21" s="18">
        <v>0</v>
      </c>
      <c r="K21" s="17">
        <v>9.2700000000000005E-2</v>
      </c>
      <c r="L21" s="17">
        <v>0.71899999999999997</v>
      </c>
      <c r="M21" s="17">
        <v>148.08799999999999</v>
      </c>
      <c r="N21" s="19">
        <v>4</v>
      </c>
    </row>
  </sheetData>
  <autoFilter ref="A1:N21" xr:uid="{C8EDC2D2-C860-49FA-B9A3-0B451B4B6124}">
    <sortState ref="A2:N21">
      <sortCondition ref="N1:N21"/>
    </sortState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Methodology</vt:lpstr>
      <vt:lpstr>Final Result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Dương Cẩm Thanh Nguyễn</dc:creator>
  <cp:lastModifiedBy>VGU2</cp:lastModifiedBy>
  <dcterms:created xsi:type="dcterms:W3CDTF">2023-01-22T18:12:14Z</dcterms:created>
  <dcterms:modified xsi:type="dcterms:W3CDTF">2023-02-25T17:01:03Z</dcterms:modified>
</cp:coreProperties>
</file>